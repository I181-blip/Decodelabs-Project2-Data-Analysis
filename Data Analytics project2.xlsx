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CA4E665-D2F3-44CD-870A-A366C61A3CB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aw Data" sheetId="1" r:id="rId1"/>
    <sheet name="EDA Summary" sheetId="2" r:id="rId2"/>
    <sheet name="Dashboard" sheetId="3" r:id="rId3"/>
  </sheet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B2" i="3" l="1"/>
  <c r="G25" i="2"/>
  <c r="B25" i="2"/>
  <c r="C25" i="2"/>
  <c r="E18" i="2"/>
  <c r="E19" i="2"/>
  <c r="E21" i="2"/>
  <c r="D21" i="2"/>
  <c r="C21" i="2"/>
  <c r="B21" i="2"/>
  <c r="E20" i="2"/>
  <c r="D20" i="2"/>
  <c r="C20" i="2"/>
  <c r="B20" i="2"/>
  <c r="D19" i="2"/>
  <c r="C19" i="2"/>
  <c r="B19" i="2"/>
  <c r="D18" i="2"/>
  <c r="C18" i="2"/>
  <c r="B1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B15" i="2"/>
  <c r="B13" i="2"/>
  <c r="B14" i="2"/>
  <c r="C14" i="2" s="1"/>
  <c r="B12" i="2"/>
  <c r="C12" i="2" s="1"/>
  <c r="B11" i="2"/>
  <c r="C11" i="2" s="1"/>
  <c r="B10" i="2"/>
  <c r="B9" i="2"/>
  <c r="C9" i="2" s="1"/>
  <c r="B8" i="2"/>
  <c r="C8" i="2" s="1"/>
  <c r="B7" i="2"/>
  <c r="C7" i="2" s="1"/>
  <c r="B6" i="2"/>
  <c r="C6" i="2" s="1"/>
  <c r="B5" i="2"/>
  <c r="B4" i="2"/>
  <c r="B3" i="2"/>
  <c r="C3" i="2" s="1"/>
  <c r="B2" i="2"/>
  <c r="D2" i="2" s="1"/>
  <c r="D25" i="2" l="1"/>
  <c r="F25" i="2" s="1"/>
  <c r="C4" i="2"/>
  <c r="C10" i="2"/>
  <c r="C13" i="2"/>
  <c r="C5" i="2"/>
  <c r="C15" i="2"/>
  <c r="C2" i="2"/>
  <c r="E25" i="2" l="1"/>
</calcChain>
</file>

<file path=xl/sharedStrings.xml><?xml version="1.0" encoding="utf-8"?>
<sst xmlns="http://schemas.openxmlformats.org/spreadsheetml/2006/main" count="10582" uniqueCount="4316">
  <si>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</si>
  <si>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</si>
  <si>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</si>
  <si>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</si>
  <si>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</si>
  <si>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</si>
  <si>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</si>
  <si>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</si>
  <si>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</si>
  <si>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</si>
  <si>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</si>
  <si>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</si>
  <si>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</si>
  <si>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</si>
  <si>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</si>
  <si>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</si>
  <si>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</si>
  <si>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</si>
  <si>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</si>
  <si>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</si>
  <si>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</si>
  <si>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</si>
  <si>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</si>
  <si>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</si>
  <si>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</si>
  <si>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</si>
  <si>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</si>
  <si>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</si>
  <si>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</si>
  <si>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</si>
  <si>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</si>
  <si>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</si>
  <si>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</si>
  <si>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</si>
  <si>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</si>
  <si>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</si>
  <si>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</si>
  <si>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</si>
  <si>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</si>
  <si>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</si>
  <si>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</si>
  <si>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</si>
  <si>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</si>
  <si>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</si>
  <si>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</si>
  <si>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</si>
  <si>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</si>
  <si>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</si>
  <si>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</si>
  <si>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</si>
  <si>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</si>
  <si>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</si>
  <si>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</si>
  <si>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</si>
  <si>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</si>
  <si>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</si>
  <si>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</si>
  <si>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</si>
  <si>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</si>
  <si>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</si>
  <si>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</si>
  <si>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</si>
  <si>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</si>
  <si>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</si>
  <si>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</si>
  <si>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</si>
  <si>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</si>
  <si>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</si>
  <si>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</si>
  <si>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</si>
  <si>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</si>
  <si>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</si>
  <si>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</si>
  <si>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</si>
  <si>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</si>
  <si>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</si>
  <si>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</si>
  <si>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</si>
  <si>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</si>
  <si>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</si>
  <si>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</si>
  <si>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</si>
  <si>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</si>
  <si>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</si>
  <si>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</si>
  <si>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</si>
  <si>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</si>
  <si>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</si>
  <si>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</si>
  <si>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</si>
  <si>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</si>
  <si>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</si>
  <si>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</si>
  <si>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</si>
  <si>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</si>
  <si>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</si>
  <si>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</si>
  <si>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</si>
  <si>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</si>
  <si>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</si>
  <si>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</si>
  <si>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</si>
  <si>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</si>
  <si>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</si>
  <si>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</si>
  <si>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</si>
  <si>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</si>
  <si>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</si>
  <si>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</si>
  <si>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</si>
  <si>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</si>
  <si>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</si>
  <si>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</si>
  <si>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</si>
  <si>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</si>
  <si>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</si>
  <si>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</si>
  <si>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</si>
  <si>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</si>
  <si>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</si>
  <si>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</si>
  <si>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</si>
  <si>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</si>
  <si>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</si>
  <si>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</si>
  <si>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</si>
  <si>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</si>
  <si>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</si>
  <si>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</si>
  <si>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</si>
  <si>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</si>
  <si>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</si>
  <si>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</si>
  <si>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</si>
  <si>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</si>
  <si>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</si>
  <si>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</si>
  <si>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</si>
  <si>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</si>
  <si>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</si>
  <si>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</si>
  <si>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</si>
  <si>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</si>
  <si>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</si>
  <si>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</si>
  <si>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</si>
  <si>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</si>
  <si>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</si>
  <si>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</si>
  <si>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</si>
  <si>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</si>
  <si>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</si>
  <si>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</si>
  <si>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</si>
  <si>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</si>
  <si>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</si>
  <si>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</si>
  <si>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</si>
  <si>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</si>
  <si>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</si>
  <si>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</si>
  <si>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</si>
  <si>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</si>
  <si>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</si>
  <si>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</si>
  <si>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</si>
  <si>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</si>
  <si>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</si>
  <si>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</si>
  <si>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</si>
  <si>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</si>
  <si>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</si>
  <si>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</si>
  <si>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</si>
  <si>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</si>
  <si>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</si>
  <si>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</si>
  <si>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</si>
  <si>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</si>
  <si>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</si>
  <si>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</si>
  <si>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</si>
  <si>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</si>
  <si>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</si>
  <si>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</si>
  <si>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</si>
  <si>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</si>
  <si>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</si>
  <si>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</si>
  <si>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</si>
  <si>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</si>
  <si>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</si>
  <si>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</si>
  <si>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</si>
  <si>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</si>
  <si>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</si>
  <si>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</si>
  <si>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</si>
  <si>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</si>
  <si>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</si>
  <si>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</si>
  <si>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</si>
  <si>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</si>
  <si>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</si>
  <si>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</si>
  <si>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</si>
  <si>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</si>
  <si>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</si>
  <si>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</si>
  <si>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</si>
  <si>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</si>
  <si>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</si>
  <si>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</si>
  <si>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</si>
  <si>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</si>
  <si>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</si>
  <si>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</si>
  <si>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</si>
  <si>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</si>
  <si>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</si>
  <si>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</si>
  <si>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</si>
  <si>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</si>
  <si>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</si>
  <si>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</si>
  <si>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</si>
  <si>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</si>
  <si>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</si>
  <si>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</si>
  <si>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</si>
  <si>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</si>
  <si>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</si>
  <si>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</si>
  <si>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</si>
  <si>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</si>
  <si>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</si>
  <si>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</si>
  <si>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</si>
  <si>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</si>
  <si>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</si>
  <si>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</si>
  <si>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</si>
  <si>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</si>
  <si>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</si>
  <si>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</si>
  <si>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</si>
  <si>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</si>
  <si>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</si>
  <si>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</si>
  <si>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</si>
  <si>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</si>
  <si>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</si>
  <si>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</si>
  <si>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</si>
  <si>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</si>
  <si>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</si>
  <si>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</si>
  <si>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</si>
  <si>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</si>
  <si>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</si>
  <si>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</si>
  <si>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</si>
  <si>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</si>
  <si>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</si>
  <si>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</si>
  <si>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</si>
  <si>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</si>
  <si>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</si>
  <si>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</si>
  <si>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</si>
  <si>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</si>
  <si>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</si>
  <si>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</si>
  <si>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</si>
  <si>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</si>
  <si>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</si>
  <si>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</si>
  <si>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</si>
  <si>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</si>
  <si>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</si>
  <si>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</si>
  <si>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</si>
  <si>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</si>
  <si>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</si>
  <si>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</si>
  <si>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</si>
  <si>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</si>
  <si>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</si>
  <si>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</si>
  <si>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</si>
  <si>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</si>
  <si>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</si>
  <si>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</si>
  <si>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</si>
  <si>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</si>
  <si>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</si>
  <si>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</si>
  <si>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</si>
  <si>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</si>
  <si>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</si>
  <si>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</si>
  <si>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</si>
  <si>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</si>
  <si>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</si>
  <si>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</si>
  <si>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</si>
  <si>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</si>
  <si>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</si>
  <si>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</si>
  <si>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</si>
  <si>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</si>
  <si>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</si>
  <si>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</si>
  <si>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</si>
  <si>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</si>
  <si>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</si>
  <si>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</si>
  <si>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</si>
  <si>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</si>
  <si>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</si>
  <si>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</si>
  <si>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</si>
  <si>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</si>
  <si>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</si>
  <si>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</si>
  <si>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</si>
  <si>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</si>
  <si>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</si>
  <si>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</si>
  <si>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</si>
  <si>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</si>
  <si>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</si>
  <si>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</si>
  <si>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</si>
  <si>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</si>
  <si>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</si>
  <si>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</si>
  <si>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</si>
  <si>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</si>
  <si>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</si>
  <si>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</si>
  <si>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</si>
  <si>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</si>
  <si>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</si>
  <si>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</si>
  <si>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</si>
  <si>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</si>
  <si>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</si>
  <si>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</si>
  <si>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</si>
  <si>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</si>
  <si>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</si>
  <si>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</si>
  <si>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</si>
  <si>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</si>
  <si>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</si>
  <si>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</si>
  <si>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</si>
  <si>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</si>
  <si>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</si>
  <si>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</si>
  <si>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</si>
  <si>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</si>
  <si>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</si>
  <si>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</si>
  <si>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</si>
  <si>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</si>
  <si>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</si>
  <si>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</si>
  <si>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</si>
  <si>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</si>
  <si>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</si>
  <si>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</si>
  <si>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</si>
  <si>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</si>
  <si>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</si>
  <si>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</si>
  <si>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</si>
  <si>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</si>
  <si>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</si>
  <si>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</si>
  <si>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</si>
  <si>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</si>
  <si>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</si>
  <si>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</si>
  <si>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</si>
  <si>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</si>
  <si>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</si>
  <si>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</si>
  <si>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</si>
  <si>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</si>
  <si>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</si>
  <si>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</si>
  <si>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</si>
  <si>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</si>
  <si>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</si>
  <si>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</si>
  <si>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</si>
  <si>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</si>
  <si>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</si>
  <si>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</si>
  <si>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</si>
  <si>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</si>
  <si>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</si>
  <si>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</si>
  <si>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</si>
  <si>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</si>
  <si>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</si>
  <si>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</si>
  <si>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</si>
  <si>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</si>
  <si>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</si>
  <si>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</si>
  <si>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</si>
  <si>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</si>
  <si>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</si>
  <si>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</si>
  <si>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</si>
  <si>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</si>
  <si>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</si>
  <si>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</si>
  <si>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</si>
  <si>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</si>
  <si>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</si>
  <si>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</si>
  <si>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</si>
  <si>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</si>
  <si>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</si>
  <si>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</si>
  <si>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</si>
  <si>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</si>
  <si>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</si>
  <si>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</si>
  <si>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</si>
  <si>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</si>
  <si>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</si>
  <si>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</si>
  <si>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</si>
  <si>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</si>
  <si>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</si>
  <si>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</si>
  <si>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</si>
  <si>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</si>
  <si>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</si>
  <si>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</si>
  <si>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</si>
  <si>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</si>
  <si>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</si>
  <si>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</si>
  <si>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</si>
  <si>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</si>
  <si>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</si>
  <si>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</si>
  <si>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</si>
  <si>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</si>
  <si>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</si>
  <si>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</si>
  <si>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</si>
  <si>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</si>
  <si>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</si>
  <si>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</si>
  <si>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</si>
  <si>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</si>
  <si>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</si>
  <si>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</si>
  <si>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</si>
  <si>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</si>
  <si>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</si>
  <si>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</si>
  <si>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</si>
  <si>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</si>
  <si>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</si>
  <si>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</si>
  <si>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</si>
  <si>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</si>
  <si>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</si>
  <si>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</si>
  <si>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</si>
  <si>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</si>
  <si>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</si>
  <si>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</si>
  <si>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</si>
  <si>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</si>
  <si>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</si>
  <si>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</si>
  <si>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</si>
  <si>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</si>
  <si>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</si>
  <si>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</si>
  <si>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</si>
  <si>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</si>
  <si>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</si>
  <si>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</si>
  <si>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</si>
  <si>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</si>
  <si>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</si>
  <si>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</si>
  <si>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</si>
  <si>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</si>
  <si>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</si>
  <si>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</si>
  <si>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</si>
  <si>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</si>
  <si>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</si>
  <si>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</si>
  <si>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</si>
  <si>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</si>
  <si>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</si>
  <si>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</si>
  <si>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</si>
  <si>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</si>
  <si>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</si>
  <si>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</si>
  <si>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</si>
  <si>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</si>
  <si>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</si>
  <si>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</si>
  <si>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</si>
  <si>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</si>
  <si>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</si>
  <si>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</si>
  <si>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</si>
  <si>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</si>
  <si>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</si>
  <si>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</si>
  <si>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</si>
  <si>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</si>
  <si>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</si>
  <si>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</si>
  <si>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</si>
  <si>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</si>
  <si>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</si>
  <si>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</si>
  <si>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</si>
  <si>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</si>
  <si>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</si>
  <si>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</si>
  <si>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</si>
  <si>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</si>
  <si>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</si>
  <si>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</si>
  <si>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</si>
  <si>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</si>
  <si>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</si>
  <si>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</si>
  <si>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</si>
  <si>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</si>
  <si>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</si>
  <si>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</si>
  <si>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</si>
  <si>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</si>
  <si>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</si>
  <si>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</si>
  <si>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</si>
  <si>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</si>
  <si>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</si>
  <si>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</si>
  <si>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</si>
  <si>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</si>
  <si>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</si>
  <si>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</si>
  <si>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</si>
  <si>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</si>
  <si>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</si>
  <si>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</si>
  <si>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</si>
  <si>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</si>
  <si>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</si>
  <si>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</si>
  <si>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</si>
  <si>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</si>
  <si>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</si>
  <si>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</si>
  <si>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</si>
  <si>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</si>
  <si>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</si>
  <si>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</si>
  <si>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</si>
  <si>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</si>
  <si>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</si>
  <si>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</si>
  <si>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</si>
  <si>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</si>
  <si>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</si>
  <si>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</si>
  <si>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</si>
  <si>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</si>
  <si>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</si>
  <si>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</si>
  <si>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</si>
  <si>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</si>
  <si>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</si>
  <si>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</si>
  <si>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</si>
  <si>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</si>
  <si>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</si>
  <si>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</si>
  <si>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</si>
  <si>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</si>
  <si>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</si>
  <si>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</si>
  <si>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</si>
  <si>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</si>
  <si>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</si>
  <si>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</si>
  <si>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</si>
  <si>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</si>
  <si>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</si>
  <si>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</si>
  <si>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</si>
  <si>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</si>
  <si>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</si>
  <si>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</si>
  <si>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</si>
  <si>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</si>
  <si>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</si>
  <si>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</si>
  <si>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</si>
  <si>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</si>
  <si>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</si>
  <si>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</si>
  <si>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</si>
  <si>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</si>
  <si>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</si>
  <si>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</si>
  <si>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</si>
  <si>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</si>
  <si>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</si>
  <si>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</si>
  <si>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</si>
  <si>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</si>
  <si>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</si>
  <si>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</si>
  <si>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</si>
  <si>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</si>
  <si>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</si>
  <si>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</si>
  <si>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</si>
  <si>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</si>
  <si>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</si>
  <si>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</si>
  <si>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</si>
  <si>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</si>
  <si>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</si>
  <si>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</si>
  <si>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</si>
  <si>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</si>
  <si>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</si>
  <si>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</si>
  <si>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</si>
  <si>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</si>
  <si>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</si>
  <si>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</si>
  <si>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</si>
  <si>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</si>
  <si>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</si>
  <si>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</si>
  <si>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</si>
  <si>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</si>
  <si>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</si>
  <si>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</si>
  <si>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</si>
  <si>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</si>
  <si>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</si>
  <si>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</si>
  <si>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</si>
  <si>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</si>
  <si>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</si>
  <si>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</si>
  <si>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</si>
  <si>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</si>
  <si>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</si>
  <si>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</si>
  <si>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</si>
  <si>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</si>
  <si>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</si>
  <si>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</si>
  <si>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</si>
  <si>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</si>
  <si>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</si>
  <si>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</si>
  <si>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</si>
  <si>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</si>
  <si>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</si>
  <si>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</si>
  <si>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</si>
  <si>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</si>
  <si>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</si>
  <si>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</si>
  <si>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</si>
  <si>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</si>
  <si>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</si>
  <si>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</si>
  <si>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</si>
  <si>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</si>
  <si>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</si>
  <si>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</si>
  <si>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</si>
  <si>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</si>
  <si>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</si>
  <si>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</si>
  <si>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</si>
  <si>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</si>
  <si>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</si>
  <si>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</si>
  <si>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</si>
  <si>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</si>
  <si>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</si>
  <si>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</si>
  <si>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</si>
  <si>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</si>
  <si>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</si>
  <si>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</si>
  <si>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</si>
  <si>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</si>
  <si>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</si>
  <si>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</si>
  <si>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</si>
  <si>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</si>
  <si>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</si>
  <si>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</si>
  <si>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</si>
  <si>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</si>
  <si>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</si>
  <si>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</si>
  <si>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</si>
  <si>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</si>
  <si>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</si>
  <si>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</si>
  <si>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</si>
  <si>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</si>
  <si>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</si>
  <si>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</si>
  <si>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</si>
  <si>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</si>
  <si>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</si>
  <si>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</si>
  <si>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</si>
  <si>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</si>
  <si>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</si>
  <si>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</si>
  <si>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</si>
  <si>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</si>
  <si>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</si>
  <si>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</si>
  <si>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</si>
  <si>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</si>
  <si>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</si>
  <si>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</si>
  <si>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</si>
  <si>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</si>
  <si>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</si>
  <si>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</si>
  <si>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</si>
  <si>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</si>
  <si>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</si>
  <si>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</si>
  <si>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</si>
  <si>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</si>
  <si>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</si>
  <si>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</si>
  <si>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</si>
  <si>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</si>
  <si>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</si>
  <si>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</si>
  <si>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</si>
  <si>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</si>
  <si>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</si>
  <si>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</si>
  <si>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</si>
  <si>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</si>
  <si>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</si>
  <si>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</si>
  <si>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</si>
  <si>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</si>
  <si>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</si>
  <si>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</si>
  <si>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</si>
  <si>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</si>
  <si>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</si>
  <si>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</si>
  <si>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</si>
  <si>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</si>
  <si>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</si>
  <si>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</si>
  <si>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</si>
  <si>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</si>
  <si>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</si>
  <si>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</si>
  <si>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</si>
  <si>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</si>
  <si>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</si>
  <si>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</si>
  <si>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</si>
  <si>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</si>
  <si>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</si>
  <si>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</si>
  <si>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</si>
  <si>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</si>
  <si>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</si>
  <si>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</si>
  <si>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</si>
  <si>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</si>
  <si>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</si>
  <si>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</si>
  <si>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</si>
  <si>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</si>
  <si>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</si>
  <si>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</si>
  <si>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</si>
  <si>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</si>
  <si>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</si>
  <si>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</si>
  <si>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</si>
  <si>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</si>
  <si>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</si>
  <si>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</si>
  <si>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</si>
  <si>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</si>
  <si>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</si>
  <si>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</si>
  <si>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</si>
  <si>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</si>
  <si>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</si>
  <si>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</si>
  <si>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</si>
  <si>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</si>
  <si>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</si>
  <si>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</si>
  <si>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</si>
  <si>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</si>
  <si>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</si>
  <si>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</si>
  <si>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</si>
  <si>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</si>
  <si>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</si>
  <si>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</si>
  <si>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</si>
  <si>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</si>
  <si>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</si>
  <si>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</si>
  <si>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</si>
  <si>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</si>
  <si>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</si>
  <si>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</si>
  <si>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</si>
  <si>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</si>
  <si>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</si>
  <si>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</si>
  <si>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</si>
  <si>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</si>
  <si>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</si>
  <si>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</si>
  <si>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</si>
  <si>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</si>
  <si>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</si>
  <si>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</si>
  <si>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</si>
  <si>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</si>
  <si>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</si>
  <si>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</si>
  <si>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</si>
  <si>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</si>
  <si>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</si>
  <si>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</si>
  <si>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</si>
  <si>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</si>
  <si>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</si>
  <si>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</si>
  <si>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</si>
  <si>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</si>
  <si>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</si>
  <si>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</si>
  <si>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</si>
  <si>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</si>
  <si>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</si>
  <si>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</si>
  <si>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</si>
  <si>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</si>
  <si>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</si>
  <si>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</si>
  <si>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</si>
  <si>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</si>
  <si>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</si>
  <si>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</si>
  <si>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</si>
  <si>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</si>
  <si>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</si>
  <si>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</si>
  <si>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</si>
  <si>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</si>
  <si>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</si>
  <si>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</si>
  <si>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</si>
  <si>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</si>
  <si>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</si>
  <si>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</si>
  <si>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</si>
  <si>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</si>
  <si>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</si>
  <si>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</si>
  <si>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</si>
  <si>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</si>
  <si>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</si>
  <si>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</si>
  <si>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</si>
  <si>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</si>
  <si>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</si>
  <si>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</si>
  <si>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</si>
  <si>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</si>
  <si>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</si>
  <si>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</si>
  <si>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</si>
  <si>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</si>
  <si>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</si>
  <si>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</si>
  <si>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</si>
  <si>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</si>
  <si>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</si>
  <si>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</si>
  <si>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</si>
  <si>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</si>
  <si>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</si>
  <si>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</si>
  <si>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</si>
  <si>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</si>
  <si>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</si>
  <si>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</si>
  <si>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</si>
  <si>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</si>
  <si>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</si>
  <si>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</si>
  <si>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</si>
  <si>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</si>
  <si>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</si>
  <si>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</si>
  <si>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</si>
  <si>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</si>
  <si>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</si>
  <si>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</si>
  <si>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</si>
  <si>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</si>
  <si>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</si>
  <si>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</si>
  <si>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</si>
  <si>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</si>
  <si>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</si>
  <si>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</si>
  <si>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</si>
  <si>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</si>
  <si>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</si>
  <si>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</si>
  <si>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</si>
  <si>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</si>
  <si>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</si>
  <si>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</si>
  <si>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</si>
  <si>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</si>
  <si>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</si>
  <si>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</si>
  <si>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</si>
  <si>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</si>
  <si>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</si>
  <si>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</si>
  <si>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</si>
  <si>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</si>
  <si>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</si>
  <si>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</si>
  <si>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</si>
  <si>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</si>
  <si>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</si>
  <si>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</si>
  <si>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</si>
  <si>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</si>
  <si>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</si>
  <si>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</si>
  <si>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</si>
  <si>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</si>
  <si>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</si>
  <si>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</si>
  <si>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</si>
  <si>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</si>
  <si>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</si>
  <si>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</si>
  <si>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</si>
  <si>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</si>
  <si>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</si>
  <si>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</si>
  <si>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</si>
  <si>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</si>
  <si>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</si>
  <si>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</si>
  <si>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</si>
  <si>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</si>
  <si>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</si>
  <si>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</si>
  <si>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</si>
  <si>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</si>
  <si>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</si>
  <si>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</si>
  <si>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</si>
  <si>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</si>
  <si>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</si>
  <si>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</si>
  <si>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</si>
  <si>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</si>
  <si>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</si>
  <si>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</si>
  <si>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</si>
  <si>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</si>
  <si>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</si>
  <si>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</si>
  <si>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</si>
  <si>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</si>
  <si>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</si>
  <si>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</si>
  <si>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</si>
  <si>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</si>
  <si>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</si>
  <si>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</si>
  <si>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</si>
  <si>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</si>
  <si>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</si>
  <si>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</si>
  <si>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</si>
  <si>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</si>
  <si>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</si>
  <si>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</si>
  <si>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</si>
  <si>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</si>
  <si>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</si>
  <si>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</si>
  <si>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</si>
  <si>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</si>
  <si>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</si>
  <si>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</si>
  <si>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</si>
  <si>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</si>
  <si>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</si>
  <si>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</si>
  <si>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</si>
  <si>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</si>
  <si>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</si>
  <si>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</si>
  <si>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</si>
  <si>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</si>
  <si>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</si>
  <si>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</si>
  <si>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</si>
  <si>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</si>
  <si>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</si>
  <si>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</si>
  <si>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</si>
  <si>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</si>
  <si>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</si>
  <si>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</si>
  <si>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</si>
  <si>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</si>
  <si>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</si>
  <si>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</si>
  <si>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</si>
  <si>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</si>
  <si>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</si>
  <si>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</si>
  <si>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</si>
  <si>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</si>
  <si>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</si>
  <si>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</si>
  <si>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</si>
  <si>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</si>
  <si>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</si>
  <si>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</si>
  <si>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</si>
  <si>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</si>
  <si>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</si>
  <si>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</si>
  <si>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</si>
  <si>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</si>
  <si>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</si>
  <si>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</si>
  <si>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</si>
  <si>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</si>
  <si>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</si>
  <si>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</si>
  <si>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</si>
  <si>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</si>
  <si>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</si>
  <si>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</si>
  <si>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</si>
  <si>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</si>
  <si>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</si>
  <si>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</si>
  <si>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</si>
  <si>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</si>
  <si>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</si>
  <si>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</si>
  <si>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</si>
  <si>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</si>
  <si>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</si>
  <si>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</si>
  <si>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</si>
  <si>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</si>
  <si>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</si>
  <si>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</si>
  <si>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</si>
  <si>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</si>
  <si>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</si>
  <si>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</si>
  <si>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</si>
  <si>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</si>
  <si>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</si>
  <si>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</si>
  <si>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</si>
  <si>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</si>
  <si>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</si>
  <si>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</si>
  <si>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</si>
  <si>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</si>
  <si>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</si>
  <si>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</si>
  <si>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</si>
  <si>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</si>
  <si>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</si>
  <si>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</si>
  <si>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</si>
  <si>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</si>
  <si>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</si>
  <si>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</si>
  <si>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</si>
  <si>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</si>
  <si>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</si>
  <si>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</si>
  <si>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</si>
  <si>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</si>
  <si>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</si>
  <si>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</si>
  <si>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</si>
  <si>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</si>
  <si>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</si>
  <si>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</si>
  <si>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</si>
  <si>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</si>
  <si>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</si>
  <si>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</si>
  <si>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</si>
  <si>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</si>
  <si>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</si>
  <si>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</si>
  <si>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</si>
  <si>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</si>
  <si>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</si>
  <si>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</si>
  <si>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</si>
  <si>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</si>
  <si>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</si>
  <si>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</si>
  <si>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</si>
  <si>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</si>
  <si>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</si>
  <si>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</si>
  <si>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</si>
  <si>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</si>
  <si>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</si>
  <si>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</si>
  <si>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</si>
  <si>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</si>
  <si>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</si>
  <si>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</si>
  <si>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</si>
  <si>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</si>
  <si>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</si>
  <si>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</si>
  <si>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</si>
  <si>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</si>
  <si>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</si>
  <si>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</si>
  <si>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</si>
  <si>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</si>
  <si>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</si>
  <si>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</si>
  <si>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</si>
  <si>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</si>
  <si>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</si>
  <si>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</si>
  <si>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</si>
  <si>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</si>
  <si>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</si>
  <si>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</si>
  <si>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</si>
  <si>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</si>
  <si>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</si>
  <si>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</si>
  <si>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</si>
  <si>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</si>
  <si>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</si>
  <si>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</si>
  <si>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</si>
  <si>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</si>
  <si>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</si>
  <si>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</si>
  <si>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</si>
  <si>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</si>
  <si>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</si>
  <si>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</si>
  <si>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</si>
  <si>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</si>
  <si>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</si>
  <si>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</si>
  <si>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</si>
  <si>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</si>
  <si>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</si>
  <si>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</si>
  <si>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</si>
  <si>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</si>
  <si>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</si>
  <si>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</si>
  <si>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</si>
  <si>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</si>
  <si>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</si>
  <si>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</si>
  <si>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</si>
  <si>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</si>
  <si>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</si>
  <si>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</si>
  <si>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</si>
  <si>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</si>
  <si>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</si>
  <si>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</si>
  <si>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</si>
  <si>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</si>
  <si>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</si>
  <si>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</si>
  <si>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</si>
  <si>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</si>
  <si>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</si>
  <si>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</si>
  <si>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</si>
  <si>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</si>
  <si>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</si>
  <si>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</si>
  <si>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</si>
  <si>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</si>
  <si>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</si>
  <si>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</si>
  <si>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</si>
  <si>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</si>
  <si>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</si>
  <si>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</si>
  <si>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</si>
  <si>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</si>
  <si>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</si>
  <si>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</si>
  <si>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</si>
  <si>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</si>
  <si>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</si>
  <si>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</si>
  <si>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</si>
  <si>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</si>
  <si>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</si>
  <si>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</si>
  <si>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</si>
  <si>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</si>
  <si>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</si>
  <si>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</si>
  <si>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</si>
  <si>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</si>
  <si>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</si>
  <si>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</si>
  <si>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</si>
  <si>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</si>
  <si>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</si>
  <si>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</si>
  <si>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</si>
  <si>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</si>
  <si>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</si>
  <si>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</si>
  <si>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</si>
  <si>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</si>
  <si>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</si>
  <si>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</si>
  <si>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</si>
  <si>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</si>
  <si>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</si>
  <si>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</si>
  <si>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</si>
  <si>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</si>
  <si>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</si>
  <si>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</si>
  <si>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</si>
  <si>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</si>
  <si>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</si>
  <si>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</si>
  <si>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</si>
  <si>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</si>
  <si>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</si>
  <si>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</si>
  <si>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</si>
  <si>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</si>
  <si>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</si>
  <si>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</si>
  <si>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</si>
  <si>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</si>
  <si>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</si>
  <si>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</si>
  <si>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</si>
  <si>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</si>
  <si>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</si>
  <si>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</si>
  <si>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</si>
  <si>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</si>
  <si>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</si>
  <si>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</si>
  <si>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</si>
  <si>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</si>
  <si>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</si>
  <si>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</si>
  <si>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</si>
  <si>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</si>
  <si>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</si>
  <si>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</si>
  <si>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</si>
  <si>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</si>
  <si>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</si>
  <si>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</si>
  <si>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</si>
  <si>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</si>
  <si>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</si>
  <si>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</si>
  <si>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</si>
  <si>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</si>
  <si>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</si>
  <si>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</si>
  <si>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</si>
  <si>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</si>
  <si>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</si>
  <si>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</si>
  <si>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</si>
  <si>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</si>
  <si>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</si>
  <si>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</si>
  <si>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</si>
  <si>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</si>
  <si>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</si>
  <si>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</si>
  <si>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</si>
  <si>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</si>
  <si>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</si>
  <si>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</si>
  <si>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</si>
  <si>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</si>
  <si>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</si>
  <si>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</si>
  <si>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</si>
  <si>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</si>
  <si>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</si>
  <si>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</si>
  <si>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</si>
  <si>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</si>
  <si>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</si>
  <si>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</si>
  <si>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</si>
  <si>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</si>
  <si>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</si>
  <si>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</si>
  <si>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</si>
  <si>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</si>
  <si>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</si>
  <si>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</si>
  <si>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</si>
  <si>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</si>
  <si>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</si>
  <si>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</si>
  <si>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</si>
  <si>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</si>
  <si>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</si>
  <si>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</si>
  <si>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</si>
  <si>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</si>
  <si>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</si>
  <si>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</si>
  <si>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</si>
  <si>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</si>
  <si>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</si>
  <si>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</si>
  <si>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</si>
  <si>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</si>
  <si>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</si>
  <si>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</si>
  <si>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</si>
  <si>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</si>
  <si>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</si>
  <si>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</si>
  <si>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</si>
  <si>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</si>
  <si>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</si>
  <si>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</si>
  <si>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</si>
  <si>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</si>
  <si>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</si>
  <si>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</si>
  <si>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</si>
  <si>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</si>
  <si>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</si>
  <si>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</si>
  <si>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</si>
  <si>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</si>
  <si>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</si>
  <si>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</si>
  <si>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</si>
  <si>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</si>
  <si>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</si>
  <si>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</si>
  <si>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</si>
  <si>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</si>
  <si>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</si>
  <si>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</si>
  <si>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</si>
  <si>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</si>
  <si>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</si>
  <si>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</si>
  <si>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</si>
  <si>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</si>
  <si>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</si>
  <si>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</si>
  <si>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</si>
  <si>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</si>
  <si>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</si>
  <si>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</si>
  <si>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</si>
  <si>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</si>
  <si>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</si>
  <si>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</si>
  <si>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</si>
  <si>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</si>
  <si>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</si>
  <si>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</si>
  <si>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</si>
  <si>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</si>
  <si>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</si>
  <si>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</si>
  <si>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</si>
  <si>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</si>
  <si>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</si>
  <si>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</si>
  <si>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</si>
  <si>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</si>
  <si>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</si>
  <si>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</si>
  <si>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</si>
  <si>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</si>
  <si>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</si>
  <si>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</si>
  <si>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</si>
  <si>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</si>
  <si>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</si>
  <si>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</si>
  <si>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</si>
  <si>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</si>
  <si>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</si>
  <si>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</si>
  <si>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</si>
  <si>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</si>
  <si>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</si>
  <si>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</si>
  <si>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</si>
  <si>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</si>
  <si>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</si>
  <si>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</si>
  <si>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</si>
  <si>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</si>
  <si>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</si>
  <si>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</si>
  <si>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</si>
  <si>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</si>
  <si>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</si>
  <si>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</si>
  <si>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</si>
  <si>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</si>
  <si>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</si>
  <si>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</si>
  <si>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</si>
  <si>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</si>
  <si>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</si>
  <si>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</si>
  <si>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</si>
  <si>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</si>
  <si>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</si>
  <si>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</si>
  <si>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</si>
  <si>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</si>
  <si>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</si>
  <si>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</si>
  <si>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</si>
  <si>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</si>
  <si>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</si>
  <si>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</si>
  <si>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</si>
  <si>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</si>
  <si>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</si>
  <si>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</si>
  <si>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</si>
  <si>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</si>
  <si>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</si>
  <si>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</si>
  <si>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</si>
  <si>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</si>
  <si>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</si>
  <si>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</si>
  <si>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</si>
  <si>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</si>
  <si>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</si>
  <si>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</si>
  <si>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</si>
  <si>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</si>
  <si>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</si>
  <si>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</si>
  <si>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</si>
  <si>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</si>
  <si>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</si>
  <si>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</si>
  <si>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</si>
  <si>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</si>
  <si>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</si>
  <si>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</si>
  <si>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</si>
  <si>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</si>
  <si>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</si>
  <si>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</si>
  <si>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</si>
  <si>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</si>
  <si>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</si>
  <si>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</si>
  <si>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</si>
  <si>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</si>
  <si>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</si>
  <si>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</si>
  <si>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</si>
  <si>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</si>
  <si>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</si>
  <si>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</si>
  <si>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</si>
  <si>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</si>
  <si>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</si>
  <si>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</si>
  <si>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</si>
  <si>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</si>
  <si>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</si>
  <si>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</si>
  <si>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</si>
  <si>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</si>
  <si>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</si>
  <si>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</si>
  <si>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</si>
  <si>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</si>
  <si>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</si>
  <si>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</si>
  <si>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</si>
  <si>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</si>
  <si>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</si>
  <si>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</si>
  <si>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</si>
  <si>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</si>
  <si>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</si>
  <si>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</si>
  <si>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</si>
  <si>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</si>
  <si>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</si>
  <si>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</si>
  <si>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</si>
  <si>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</si>
  <si>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</si>
  <si>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</si>
  <si>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</si>
  <si>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</si>
  <si>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</si>
  <si>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</si>
  <si>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</si>
  <si>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</si>
  <si>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</si>
  <si>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</si>
  <si>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</si>
  <si>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</si>
  <si>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</si>
  <si>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</si>
  <si>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</si>
  <si>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</si>
  <si>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</si>
  <si>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</si>
  <si>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</si>
  <si>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</si>
  <si>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</si>
  <si>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</si>
  <si>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</si>
  <si>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</si>
  <si>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</si>
  <si>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</si>
  <si>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</si>
  <si>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</si>
  <si>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</si>
  <si>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</si>
  <si>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</si>
  <si>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</si>
  <si>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</si>
  <si>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</si>
  <si>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</si>
  <si>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</si>
  <si>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</si>
  <si>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</si>
  <si>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</si>
  <si>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</si>
  <si>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</si>
  <si>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</si>
  <si>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</si>
  <si>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</si>
  <si>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</si>
  <si>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</si>
  <si>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</si>
  <si>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</si>
  <si>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</si>
  <si>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</si>
  <si>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</si>
  <si>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</si>
  <si>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</si>
  <si>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</si>
  <si>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</si>
  <si>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</si>
  <si>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</si>
  <si>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</si>
  <si>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</si>
  <si>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</si>
  <si>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</si>
  <si>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</si>
  <si>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</si>
  <si>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</si>
  <si>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</si>
  <si>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</si>
  <si>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</si>
  <si>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</si>
  <si>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</si>
  <si>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</si>
  <si>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</si>
  <si>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</si>
  <si>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</si>
  <si>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</si>
  <si>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</si>
  <si>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</si>
  <si>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</si>
  <si>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</si>
  <si>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</si>
  <si>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</si>
  <si>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</si>
  <si>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</si>
  <si>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</si>
  <si>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</si>
  <si>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</si>
  <si>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</si>
  <si>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</si>
  <si>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</si>
  <si>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</si>
  <si>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</si>
  <si>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</si>
  <si>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</si>
  <si>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</si>
  <si>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</si>
  <si>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</si>
  <si>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</si>
  <si>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</si>
  <si>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</si>
  <si>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</si>
  <si>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</si>
  <si>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</si>
  <si>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</si>
  <si>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</si>
  <si>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</si>
  <si>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</si>
  <si>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</si>
  <si>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</si>
  <si>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</si>
  <si>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</si>
  <si>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</si>
  <si>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</si>
  <si>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</si>
  <si>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</si>
  <si>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</si>
  <si>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</si>
  <si>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</si>
  <si>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</si>
  <si>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</si>
  <si>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</si>
  <si>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</si>
  <si>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</si>
  <si>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</si>
  <si>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</si>
  <si>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</si>
  <si>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</si>
  <si>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</si>
  <si>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</si>
  <si>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</si>
  <si>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</si>
  <si>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</si>
  <si>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</si>
  <si>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</si>
  <si>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</si>
  <si>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</si>
  <si>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</si>
  <si>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</si>
  <si>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</si>
  <si>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</si>
  <si>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</si>
  <si>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</si>
  <si>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</si>
  <si>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</si>
  <si>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</si>
  <si>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</si>
  <si>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</si>
  <si>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</si>
  <si>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</si>
  <si>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</si>
  <si>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</si>
  <si>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</si>
  <si>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</si>
  <si>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</si>
  <si>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</si>
  <si>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</si>
  <si>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</si>
  <si>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</si>
  <si>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</si>
  <si>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</si>
  <si>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</si>
  <si>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</si>
  <si>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</si>
  <si>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</si>
  <si>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</si>
  <si>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</si>
  <si>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</si>
  <si>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</si>
  <si>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</si>
  <si>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</si>
  <si>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</si>
  <si>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</si>
  <si>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</si>
  <si>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</si>
  <si>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</si>
  <si>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</si>
  <si>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</si>
  <si>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</si>
  <si>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</si>
  <si>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</si>
  <si>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</si>
  <si>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</si>
  <si>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</si>
  <si>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</si>
  <si>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</si>
  <si>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</si>
  <si>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</si>
  <si>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</si>
  <si>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</si>
  <si>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</si>
  <si>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</si>
  <si>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</si>
  <si>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</si>
  <si>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</si>
  <si>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</si>
  <si>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</si>
  <si>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</si>
  <si>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</si>
  <si>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</si>
  <si>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</si>
  <si>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</si>
  <si>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</si>
  <si>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</si>
  <si>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</si>
  <si>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</si>
  <si>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</si>
  <si>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</si>
  <si>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</si>
  <si>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</si>
  <si>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</si>
  <si>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</si>
  <si>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</si>
  <si>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</si>
  <si>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</si>
  <si>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</si>
  <si>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</si>
  <si>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</si>
  <si>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</si>
  <si>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</si>
  <si>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</si>
  <si>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</si>
  <si>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</si>
  <si>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</si>
  <si>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</si>
  <si>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</si>
  <si>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</si>
  <si>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</si>
  <si>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</si>
  <si>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</si>
  <si>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</si>
  <si>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</si>
  <si>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</si>
  <si>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</si>
  <si>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</si>
  <si>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</si>
  <si>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</si>
  <si>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</si>
  <si>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</si>
  <si>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</si>
  <si>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</si>
  <si>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</si>
  <si>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</si>
  <si>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</si>
  <si>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</si>
  <si>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</si>
  <si>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</si>
  <si>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</si>
  <si>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</si>
  <si>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</si>
  <si>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</si>
  <si>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</si>
  <si>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</si>
  <si>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</si>
  <si>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</si>
  <si>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</si>
  <si>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</si>
  <si>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</si>
  <si>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</si>
  <si>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</si>
  <si>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</si>
  <si>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</si>
  <si>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</si>
  <si>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</si>
  <si>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</si>
  <si>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</si>
  <si>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</si>
  <si>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</si>
  <si>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</si>
  <si>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</si>
  <si>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</si>
  <si>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</si>
  <si>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</si>
  <si>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</si>
  <si>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</si>
  <si>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</si>
  <si>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</si>
  <si>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</si>
  <si>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</si>
  <si>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</si>
  <si>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</si>
  <si>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</si>
  <si>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</si>
  <si>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</si>
  <si>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</si>
  <si>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</si>
  <si>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</si>
  <si>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</si>
  <si>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</si>
  <si>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</si>
  <si>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</si>
  <si>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</si>
  <si>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</si>
  <si>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</si>
  <si>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</si>
  <si>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</si>
  <si>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</si>
  <si>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</si>
  <si>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</si>
  <si>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</si>
  <si>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</si>
  <si>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</si>
  <si>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</si>
  <si>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</si>
  <si>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</si>
  <si>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</si>
  <si>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</si>
  <si>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</si>
  <si>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</si>
  <si>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</si>
  <si>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</si>
  <si>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</si>
  <si>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</si>
  <si>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</si>
  <si>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</si>
  <si>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</si>
  <si>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</si>
  <si>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</si>
  <si>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</si>
  <si>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</si>
  <si>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</si>
  <si>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</si>
  <si>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</si>
  <si>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</si>
  <si>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</si>
  <si>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</si>
  <si>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</si>
  <si>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</si>
  <si>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</si>
  <si>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</si>
  <si>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</si>
  <si>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</si>
  <si>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</si>
  <si>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</si>
  <si>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</si>
  <si>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</si>
  <si>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</si>
  <si>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</si>
  <si>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</si>
  <si>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</si>
  <si>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</si>
  <si>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</si>
  <si>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</si>
  <si>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</si>
  <si>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</si>
  <si>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</si>
  <si>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</si>
  <si>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</si>
  <si>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</si>
  <si>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</si>
  <si>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</si>
  <si>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</si>
  <si>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</si>
  <si>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</si>
  <si>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</si>
  <si>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</si>
  <si>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</si>
  <si>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</si>
  <si>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</si>
  <si>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</si>
  <si>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</si>
  <si>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</si>
  <si>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</si>
  <si>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</si>
  <si>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</si>
  <si>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</si>
  <si>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</si>
  <si>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</si>
  <si>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</si>
  <si>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</si>
  <si>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</si>
  <si>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</si>
  <si>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</si>
  <si>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</si>
  <si>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</si>
  <si>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</si>
  <si>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</si>
  <si>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</si>
  <si>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</si>
  <si>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</si>
  <si>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</si>
  <si>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</si>
  <si>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</si>
  <si>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</si>
  <si>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</si>
  <si>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</si>
  <si>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</si>
  <si>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</si>
  <si>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</si>
  <si>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</si>
  <si>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</si>
  <si>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</si>
  <si>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</si>
  <si>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</si>
  <si>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</si>
  <si>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</si>
  <si>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</si>
  <si>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</si>
  <si>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</si>
  <si>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</si>
  <si>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</si>
  <si>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</si>
  <si>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</si>
  <si>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</si>
  <si>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</si>
  <si>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</si>
  <si>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</si>
  <si>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</si>
  <si>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</si>
  <si>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</si>
  <si>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</si>
  <si>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</si>
  <si>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</si>
  <si>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</si>
  <si>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</si>
  <si>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</si>
  <si>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</si>
  <si>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</si>
  <si>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</si>
  <si>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</si>
  <si>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</si>
  <si>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</si>
  <si>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</si>
  <si>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</si>
  <si>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</si>
  <si>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</si>
  <si>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</si>
  <si>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</si>
  <si>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</si>
  <si>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</si>
  <si>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</si>
  <si>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</si>
  <si>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</si>
  <si>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</si>
  <si>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</si>
  <si>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</si>
  <si>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</si>
  <si>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</si>
  <si>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</si>
  <si>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</si>
  <si>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</si>
  <si>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</si>
  <si>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</si>
  <si>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</si>
  <si>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</si>
  <si>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</si>
  <si>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</si>
  <si>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</si>
  <si>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</si>
  <si>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</si>
  <si>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</si>
  <si>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</si>
  <si>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</si>
  <si>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</si>
  <si>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</si>
  <si>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</si>
  <si>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</si>
  <si>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</si>
  <si>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</si>
  <si>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</si>
  <si>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</si>
  <si>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</si>
  <si>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</si>
  <si>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</si>
  <si>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</si>
  <si>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</si>
  <si>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</si>
  <si>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</si>
  <si>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</si>
  <si>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</si>
  <si>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</si>
  <si>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</si>
  <si>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</si>
  <si>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</si>
  <si>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</si>
  <si>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</si>
  <si>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</si>
  <si>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</si>
  <si>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</si>
  <si>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</si>
  <si>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</si>
  <si>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</si>
  <si>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</si>
  <si>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</si>
  <si>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</si>
  <si>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</si>
  <si>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</si>
  <si>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</si>
  <si>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</si>
  <si>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</si>
  <si>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</si>
  <si>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</si>
  <si>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</si>
  <si>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</si>
  <si>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</si>
  <si>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</si>
  <si>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</si>
  <si>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</si>
  <si>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</si>
  <si>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</si>
  <si>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</si>
  <si>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</si>
  <si>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</si>
  <si>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</si>
  <si>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</si>
  <si>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</si>
  <si>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</si>
  <si>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</si>
  <si>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</si>
  <si>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</si>
  <si>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</si>
  <si>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</si>
  <si>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</si>
  <si>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</si>
  <si>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</si>
  <si>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</si>
  <si>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</si>
  <si>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</si>
  <si>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</si>
  <si>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</si>
  <si>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</si>
  <si>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</si>
  <si>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</si>
  <si>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</si>
  <si>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</si>
  <si>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</si>
  <si>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</si>
  <si>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</si>
  <si>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</si>
  <si>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</si>
  <si>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</si>
  <si>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</si>
  <si>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</si>
  <si>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</si>
  <si>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</si>
  <si>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</si>
  <si>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</si>
  <si>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</si>
  <si>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</si>
  <si>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</si>
  <si>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</si>
  <si>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</si>
  <si>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</si>
  <si>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</si>
  <si>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</si>
  <si>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</si>
  <si>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</si>
  <si>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</si>
  <si>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</si>
  <si>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</si>
  <si>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</si>
  <si>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</si>
  <si>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</si>
  <si>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</si>
  <si>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</si>
  <si>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</si>
  <si>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</si>
  <si>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</si>
  <si>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</si>
  <si>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</si>
  <si>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</si>
  <si>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</si>
  <si>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</si>
  <si>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</si>
  <si>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</si>
  <si>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</si>
  <si>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</si>
  <si>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</si>
  <si>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</si>
  <si>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</si>
  <si>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</si>
  <si>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</si>
  <si>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</si>
  <si>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</si>
  <si>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</si>
  <si>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</si>
  <si>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</si>
  <si>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</si>
  <si>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</si>
  <si>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</si>
  <si>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</si>
  <si>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</si>
  <si>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</si>
  <si>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</si>
  <si>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</si>
  <si>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</si>
  <si>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</si>
  <si>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</si>
  <si>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</si>
  <si>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</si>
  <si>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</si>
  <si>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</si>
  <si>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</si>
  <si>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</si>
  <si>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</si>
  <si>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</si>
  <si>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</si>
  <si>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</si>
  <si>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</si>
  <si>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</si>
  <si>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</si>
  <si>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</si>
  <si>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</si>
  <si>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</si>
  <si>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</si>
  <si>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</si>
  <si>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</si>
  <si>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</si>
  <si>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</si>
  <si>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</si>
  <si>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</si>
  <si>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</si>
  <si>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</si>
  <si>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</si>
  <si>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</si>
  <si>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</si>
  <si>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</si>
  <si>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</si>
  <si>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</si>
  <si>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</si>
  <si>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</si>
  <si>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</si>
  <si>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</si>
  <si>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</si>
  <si>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</si>
  <si>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</si>
  <si>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</si>
  <si>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</si>
  <si>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</si>
  <si>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</si>
  <si>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</si>
  <si>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</si>
  <si>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</si>
  <si>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</si>
  <si>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</si>
  <si>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</si>
  <si>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</si>
  <si>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</si>
  <si>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</si>
  <si>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</si>
  <si>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</si>
  <si>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</si>
  <si>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</si>
  <si>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</si>
  <si>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</si>
  <si>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</si>
  <si>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</si>
  <si>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</si>
  <si>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</si>
  <si>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</si>
  <si>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</si>
  <si>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</si>
  <si>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</si>
  <si>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</si>
  <si>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</si>
  <si>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</si>
  <si>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</si>
  <si>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</si>
  <si>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</si>
  <si>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</si>
  <si>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</si>
  <si>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</si>
  <si>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</si>
  <si>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</si>
  <si>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</si>
  <si>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</si>
  <si>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</si>
  <si>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</si>
  <si>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</si>
  <si>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</si>
  <si>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</si>
  <si>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</si>
  <si>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</si>
  <si>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</si>
  <si>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</si>
  <si>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</si>
  <si>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</si>
  <si>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</si>
  <si>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</si>
  <si>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</si>
  <si>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</si>
  <si>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</si>
  <si>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</si>
  <si>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</si>
  <si>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</si>
  <si>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</si>
  <si>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</si>
  <si>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</si>
  <si>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</si>
  <si>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</si>
  <si>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</si>
  <si>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</si>
  <si>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</si>
  <si>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</si>
  <si>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</si>
  <si>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</si>
  <si>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</si>
  <si>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</si>
  <si>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</si>
  <si>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</si>
  <si>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</si>
  <si>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</si>
  <si>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</si>
  <si>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</si>
  <si>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</si>
  <si>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</si>
  <si>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</si>
  <si>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</si>
  <si>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</si>
  <si>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</si>
  <si>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</si>
  <si>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</si>
  <si>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</si>
  <si>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</si>
  <si>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</si>
  <si>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</si>
  <si>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</si>
  <si>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</si>
  <si>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</si>
  <si>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</si>
  <si>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</si>
  <si>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</si>
  <si>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</si>
  <si>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</si>
  <si>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</si>
  <si>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</si>
  <si>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</si>
  <si>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</si>
  <si>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</si>
  <si>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</si>
  <si>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</si>
  <si>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</si>
  <si>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</si>
  <si>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</si>
  <si>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</si>
  <si>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</si>
  <si>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</si>
  <si>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</si>
  <si>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</si>
  <si>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</si>
  <si>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</si>
  <si>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</si>
  <si>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</si>
  <si>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</si>
  <si>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</si>
  <si>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</si>
  <si>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</si>
  <si>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</si>
  <si>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</si>
  <si>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</si>
  <si>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</si>
  <si>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</si>
  <si>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</si>
  <si>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</si>
  <si>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</si>
  <si>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</si>
  <si>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</si>
  <si>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</si>
  <si>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</si>
  <si>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</si>
  <si>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</si>
  <si>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</si>
  <si>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</si>
  <si>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</si>
  <si>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</si>
  <si>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</si>
  <si>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</si>
  <si>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</si>
  <si>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</si>
  <si>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</si>
  <si>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</si>
  <si>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</si>
  <si>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</si>
  <si>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</si>
  <si>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</si>
  <si>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</si>
  <si>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</si>
  <si>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</si>
  <si>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</si>
  <si>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</si>
  <si>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</si>
  <si>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</si>
  <si>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</si>
  <si>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</si>
  <si>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</si>
  <si>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</si>
  <si>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</si>
  <si>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</si>
  <si>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</si>
  <si>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</si>
  <si>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</si>
  <si>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</si>
  <si>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</si>
  <si>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</si>
  <si>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</si>
  <si>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</si>
  <si>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</si>
  <si>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</si>
  <si>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</si>
  <si>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</si>
  <si>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</si>
  <si>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</si>
  <si>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</si>
  <si>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</si>
  <si>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</si>
  <si>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</si>
  <si>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</si>
  <si>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</si>
  <si>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</si>
  <si>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</si>
  <si>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</si>
  <si>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</si>
  <si>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</si>
  <si>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</si>
  <si>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</si>
  <si>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</si>
  <si>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</si>
  <si>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</si>
  <si>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</si>
  <si>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</si>
  <si>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</si>
  <si>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</si>
  <si>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</si>
  <si>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</si>
  <si>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</si>
  <si>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</si>
  <si>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</si>
  <si>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</si>
  <si>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</si>
  <si>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</si>
  <si>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</si>
  <si>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</si>
  <si>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</si>
  <si>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</si>
  <si>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</si>
  <si>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</si>
  <si>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</si>
  <si>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</si>
  <si>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</si>
  <si>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</si>
  <si>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</si>
  <si>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</si>
  <si>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</si>
  <si>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</si>
  <si>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</si>
  <si>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</si>
  <si>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</si>
  <si>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</si>
  <si>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</si>
  <si>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</si>
  <si>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</si>
  <si>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</si>
  <si>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</si>
  <si>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</si>
  <si>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</si>
  <si>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</si>
  <si>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</si>
  <si>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</si>
  <si>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</si>
  <si>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</si>
  <si>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</si>
  <si>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</si>
  <si>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</si>
  <si>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</si>
  <si>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</si>
  <si>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</si>
  <si>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</si>
  <si>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</si>
  <si>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</si>
  <si>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</si>
  <si>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</si>
  <si>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</si>
  <si>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</si>
  <si>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</si>
  <si>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</si>
  <si>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</si>
  <si>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</si>
  <si>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</si>
  <si>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</si>
  <si>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</si>
  <si>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</si>
  <si>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</si>
  <si>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</si>
  <si>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</si>
  <si>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</si>
  <si>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</si>
  <si>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</si>
  <si>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</si>
  <si>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</si>
  <si>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</si>
  <si>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</si>
  <si>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</si>
  <si>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</si>
  <si>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</si>
  <si>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</si>
  <si>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</si>
  <si>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</si>
  <si>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</si>
  <si>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</si>
  <si>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</si>
  <si>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</si>
  <si>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</si>
  <si>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</si>
  <si>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</si>
  <si>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</si>
  <si>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</si>
  <si>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</si>
  <si>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</si>
  <si>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</si>
  <si>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</si>
  <si>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</si>
  <si>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</si>
  <si>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</si>
  <si>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</si>
  <si>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</si>
  <si>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</si>
  <si>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</si>
  <si>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</si>
  <si>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</si>
  <si>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</si>
  <si>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</si>
  <si>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</si>
  <si>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</si>
  <si>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</si>
  <si>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</si>
  <si>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</si>
  <si>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</si>
  <si>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</si>
  <si>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</si>
  <si>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</si>
  <si>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</si>
  <si>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</si>
  <si>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</si>
  <si>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</si>
  <si>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</si>
  <si>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</si>
  <si>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</si>
  <si>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</si>
  <si>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</si>
  <si>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</si>
  <si>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</si>
  <si>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</si>
  <si>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</si>
  <si>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</si>
  <si>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</si>
  <si>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</si>
  <si>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</si>
  <si>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</si>
  <si>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</si>
  <si>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</si>
  <si>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</si>
  <si>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</si>
  <si>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</si>
  <si>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</si>
  <si>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</si>
  <si>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</si>
  <si>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</si>
  <si>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</si>
  <si>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</si>
  <si>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</si>
  <si>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</si>
  <si>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</si>
  <si>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</si>
  <si>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</si>
  <si>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</si>
  <si>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</si>
  <si>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</si>
  <si>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</si>
  <si>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</si>
  <si>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</si>
  <si>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</si>
  <si>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</si>
  <si>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</si>
  <si>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</si>
  <si>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</si>
  <si>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</si>
  <si>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</si>
  <si>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</si>
  <si>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</si>
  <si>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</si>
  <si>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</si>
  <si>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</si>
  <si>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</si>
  <si>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</si>
  <si>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</si>
  <si>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</si>
  <si>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</si>
  <si>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</si>
  <si>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</si>
  <si>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</si>
  <si>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</si>
  <si>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</si>
  <si>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</si>
  <si>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</si>
  <si>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</si>
  <si>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</si>
  <si>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</si>
  <si>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</si>
  <si>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</si>
  <si>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</si>
  <si>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</si>
  <si>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</si>
  <si>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</si>
  <si>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</si>
  <si>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</si>
  <si>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</si>
  <si>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</si>
  <si>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</si>
  <si>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</si>
  <si>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</si>
  <si>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</si>
  <si>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</si>
  <si>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</si>
  <si>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</si>
  <si>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</si>
  <si>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</si>
  <si>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</si>
  <si>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</si>
  <si>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</si>
  <si>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</si>
  <si>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</si>
  <si>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</si>
  <si>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</si>
  <si>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</si>
  <si>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</si>
  <si>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</si>
  <si>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</si>
  <si>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</si>
  <si>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</si>
  <si>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</si>
  <si>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</si>
  <si>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</si>
  <si>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</si>
  <si>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</si>
  <si>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</si>
  <si>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</si>
  <si>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</si>
  <si>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</si>
  <si>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</si>
  <si>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</si>
  <si>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</si>
  <si>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</si>
  <si>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</si>
  <si>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</si>
  <si>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</si>
  <si>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</si>
  <si>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</si>
  <si>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</si>
  <si>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</si>
  <si>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</si>
  <si>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</si>
  <si>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</si>
  <si>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</si>
  <si>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</si>
  <si>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</si>
  <si>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</si>
  <si>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</si>
  <si>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</si>
  <si>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</si>
  <si>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</si>
  <si>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</si>
  <si>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</si>
  <si>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</si>
  <si>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</si>
  <si>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</si>
  <si>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</si>
  <si>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</si>
  <si>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</si>
  <si>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</si>
  <si>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</si>
  <si>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</si>
  <si>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</si>
  <si>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</si>
  <si>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</si>
  <si>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</si>
  <si>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</si>
  <si>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</si>
  <si>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</si>
  <si>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</si>
  <si>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</si>
  <si>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</si>
  <si>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</si>
  <si>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</si>
  <si>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</si>
  <si>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</si>
  <si>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</si>
  <si>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</si>
  <si>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</si>
  <si>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</si>
  <si>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</si>
  <si>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</si>
  <si>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</si>
  <si>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</si>
  <si>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</si>
  <si>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</si>
  <si>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</si>
  <si>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</si>
  <si>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</si>
  <si>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</si>
  <si>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</si>
  <si>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</si>
  <si>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</si>
  <si>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</si>
  <si>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</si>
  <si>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</si>
  <si>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</si>
  <si>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</si>
  <si>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</si>
  <si>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</si>
  <si>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</si>
  <si>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</si>
  <si>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</si>
  <si>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</si>
  <si>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</si>
  <si>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</si>
  <si>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</si>
  <si>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</si>
  <si>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</si>
  <si>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</si>
  <si>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</si>
  <si>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</si>
  <si>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</si>
  <si>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</si>
  <si>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</si>
  <si>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</si>
  <si>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</si>
  <si>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</si>
  <si>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</si>
  <si>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</si>
  <si>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</si>
  <si>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</si>
  <si>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</si>
  <si>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</si>
  <si>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</si>
  <si>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</si>
  <si>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</si>
  <si>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</si>
  <si>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</si>
  <si>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</si>
  <si>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</si>
  <si>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</si>
  <si>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</si>
  <si>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</si>
  <si>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</si>
  <si>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</si>
  <si>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</si>
  <si>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</si>
  <si>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</si>
  <si>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</si>
  <si>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</si>
  <si>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</si>
  <si>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</si>
  <si>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</si>
  <si>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</si>
  <si>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</si>
  <si>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</si>
  <si>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</si>
  <si>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</si>
  <si>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</si>
  <si>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</si>
  <si>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</si>
  <si>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</si>
  <si>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</si>
  <si>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</si>
  <si>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</si>
  <si>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</si>
  <si>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</si>
  <si>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</si>
  <si>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</si>
  <si>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</si>
  <si>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</si>
  <si>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</si>
  <si>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</si>
  <si>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</si>
  <si>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</si>
  <si>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</si>
  <si>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</si>
  <si>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</si>
  <si>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</si>
  <si>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</si>
  <si>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</si>
  <si>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</si>
  <si>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</si>
  <si>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</si>
  <si>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</si>
  <si>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</si>
  <si>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</si>
  <si>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</si>
  <si>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</si>
  <si>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</si>
  <si>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</si>
  <si>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</si>
  <si>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</si>
  <si>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</si>
  <si>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</si>
  <si>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</si>
  <si>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</si>
  <si>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</si>
  <si>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</si>
  <si>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</si>
  <si>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</si>
  <si>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</si>
  <si>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</si>
  <si>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</si>
  <si>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</si>
  <si>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</si>
  <si>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</si>
  <si>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</si>
  <si>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</si>
  <si>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</si>
  <si>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</si>
  <si>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</si>
  <si>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</si>
  <si>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</si>
  <si>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</si>
  <si>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</si>
  <si>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</si>
  <si>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</si>
  <si>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</si>
  <si>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</si>
  <si>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</si>
  <si>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</si>
  <si>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</si>
  <si>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</si>
  <si>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</si>
  <si>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</si>
  <si>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</si>
  <si>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</si>
  <si>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</si>
  <si>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</si>
  <si>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</si>
  <si>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</si>
  <si>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</si>
  <si>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</si>
  <si>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</si>
  <si>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</si>
  <si>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</si>
  <si>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</si>
  <si>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</si>
  <si>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</si>
  <si>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</si>
  <si>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</si>
  <si>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</si>
  <si>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</si>
  <si>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</si>
  <si>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</si>
  <si>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</si>
  <si>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</si>
  <si>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</si>
  <si>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</si>
  <si>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</si>
  <si>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</si>
  <si>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</si>
  <si>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</si>
  <si>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</si>
  <si>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</si>
  <si>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</si>
  <si>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</si>
  <si>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</si>
  <si>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</si>
  <si>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</si>
  <si>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</si>
  <si>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</si>
  <si>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</si>
  <si>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</si>
  <si>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</si>
  <si>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</si>
  <si>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</si>
  <si>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</si>
  <si>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</si>
  <si>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</si>
  <si>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</si>
  <si>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</si>
  <si>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</si>
  <si>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</si>
  <si>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</si>
  <si>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</si>
  <si>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</si>
  <si>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</si>
  <si>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</si>
  <si>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</si>
  <si>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</si>
  <si>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</si>
  <si>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</si>
  <si>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</si>
  <si>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</si>
  <si>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</si>
  <si>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</si>
  <si>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</si>
  <si>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</si>
  <si>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</si>
  <si>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</si>
  <si>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</si>
  <si>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</si>
  <si>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</si>
  <si>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</si>
  <si>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</si>
  <si>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</si>
  <si>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</si>
  <si>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</si>
  <si>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</si>
  <si>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</si>
  <si>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</si>
  <si>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</si>
  <si>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</si>
  <si>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</si>
  <si>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</si>
  <si>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</si>
  <si>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</si>
  <si>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</si>
  <si>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</si>
  <si>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</si>
  <si>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</si>
  <si>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</si>
  <si>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</si>
  <si>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</si>
  <si>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</si>
  <si>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</si>
  <si>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</si>
  <si>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</si>
  <si>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</si>
  <si>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</si>
  <si>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</si>
  <si>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</si>
  <si>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</si>
  <si>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</si>
  <si>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</si>
  <si>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</si>
  <si>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</si>
  <si>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</si>
  <si>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</si>
  <si>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</si>
  <si>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</si>
  <si>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</si>
  <si>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</si>
  <si>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</si>
  <si>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</si>
  <si>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</si>
  <si>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</si>
  <si>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</si>
  <si>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</si>
  <si>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</si>
  <si>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</si>
  <si>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</si>
  <si>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</si>
  <si>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</si>
  <si>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</si>
  <si>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</si>
  <si>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</si>
  <si>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</si>
  <si>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</si>
  <si>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</si>
  <si>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</si>
  <si>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</si>
  <si>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</si>
  <si>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</si>
  <si>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</si>
  <si>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</si>
  <si>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</si>
  <si>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</si>
  <si>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</si>
  <si>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</si>
  <si>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</si>
  <si>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</si>
  <si>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</si>
  <si>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</si>
  <si>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</si>
  <si>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</si>
  <si>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</si>
  <si>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</si>
  <si>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</si>
  <si>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</si>
  <si>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</si>
  <si>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</si>
  <si>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</si>
  <si>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</si>
  <si>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</si>
  <si>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</si>
  <si>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</si>
  <si>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</si>
  <si>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</si>
  <si>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</si>
  <si>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</si>
  <si>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</si>
  <si>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</si>
  <si>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</si>
  <si>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</si>
  <si>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</si>
  <si>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</si>
  <si>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</si>
  <si>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</si>
  <si>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</si>
  <si>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</si>
  <si>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</si>
  <si>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</si>
  <si>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</si>
  <si>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</si>
  <si>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</si>
  <si>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</si>
  <si>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</si>
  <si>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</si>
  <si>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</si>
  <si>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</si>
  <si>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</si>
  <si>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</si>
  <si>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</si>
  <si>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</si>
  <si>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</si>
  <si>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</si>
  <si>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</si>
  <si>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</si>
  <si>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</si>
  <si>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</si>
  <si>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</si>
  <si>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</si>
  <si>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</si>
  <si>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</si>
  <si>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</si>
  <si>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</si>
  <si>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</si>
  <si>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</si>
  <si>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</si>
  <si>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</si>
  <si>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</si>
  <si>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</si>
  <si>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</si>
  <si>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</si>
  <si>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</si>
  <si>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</si>
  <si>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</si>
  <si>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</si>
  <si>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</si>
  <si>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</si>
  <si>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</si>
  <si>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</si>
  <si>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</si>
  <si>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</si>
  <si>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</si>
  <si>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</si>
  <si>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</si>
  <si>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</si>
  <si>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</si>
  <si>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</si>
  <si>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</si>
  <si>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</si>
  <si>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</si>
  <si>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</si>
  <si>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</si>
  <si>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</si>
  <si>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</si>
  <si>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</si>
  <si>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</si>
  <si>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</si>
  <si>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</si>
  <si>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</si>
  <si>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</si>
  <si>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</si>
  <si>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</si>
  <si>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</si>
  <si>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</si>
  <si>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</si>
  <si>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</si>
  <si>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</si>
  <si>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</si>
  <si>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</si>
  <si>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</si>
  <si>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</si>
  <si>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</si>
  <si>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</si>
  <si>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</si>
  <si>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</si>
  <si>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</si>
  <si>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</si>
  <si>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</si>
  <si>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</si>
  <si>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</si>
  <si>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</si>
  <si>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</si>
  <si>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</si>
  <si>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</si>
  <si>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</si>
  <si>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</si>
  <si>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</si>
  <si>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</si>
  <si>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</si>
  <si>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</si>
  <si>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</si>
  <si>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</si>
  <si>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</si>
  <si>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</si>
  <si>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</si>
  <si>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</si>
  <si>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</si>
  <si>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</si>
  <si>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</si>
  <si>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</si>
  <si>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</si>
  <si>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</si>
  <si>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</si>
  <si>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</si>
  <si>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</si>
  <si>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</si>
  <si>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</si>
  <si>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</si>
  <si>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</si>
  <si>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</si>
  <si>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</si>
  <si>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</si>
  <si>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</si>
  <si>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</si>
  <si>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</si>
  <si>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</si>
  <si>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</si>
  <si>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</si>
  <si>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</si>
  <si>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</si>
  <si>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</si>
  <si>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</si>
  <si>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</si>
  <si>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</si>
  <si>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</si>
  <si>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</si>
  <si>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</si>
  <si>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</si>
  <si>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</si>
  <si>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</si>
  <si>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</si>
  <si>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</si>
  <si>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</si>
  <si>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</si>
  <si>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</si>
  <si>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</si>
  <si>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</si>
  <si>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</si>
  <si>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</si>
  <si>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</si>
  <si>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</si>
  <si>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</si>
  <si>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</si>
  <si>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</si>
  <si>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</si>
  <si>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</si>
  <si>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</si>
  <si>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</si>
  <si>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</si>
  <si>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</si>
  <si>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</si>
  <si>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</si>
  <si>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</si>
  <si>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</si>
  <si>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</si>
  <si>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</si>
  <si>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</si>
  <si>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</si>
  <si>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</si>
  <si>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</si>
  <si>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</si>
  <si>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</si>
  <si>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</si>
  <si>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</si>
  <si>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</si>
  <si>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</si>
  <si>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</si>
  <si>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</si>
  <si>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</si>
  <si>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</si>
  <si>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</si>
  <si>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</si>
  <si>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</si>
  <si>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</si>
  <si>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</si>
  <si>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</si>
  <si>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</si>
  <si>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</si>
  <si>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</si>
  <si>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</si>
  <si>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</si>
  <si>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</si>
  <si>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</si>
  <si>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</si>
  <si>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</si>
  <si>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</si>
  <si>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</si>
  <si>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</si>
  <si>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</si>
  <si>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</si>
  <si>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</si>
  <si>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</si>
  <si>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</si>
  <si>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</si>
  <si>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</si>
  <si>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</si>
  <si>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</si>
  <si>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</si>
  <si>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</si>
  <si>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</si>
  <si>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</si>
  <si>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</si>
  <si>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</si>
  <si>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</si>
  <si>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</si>
  <si>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</si>
  <si>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</si>
  <si>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</si>
  <si>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</si>
  <si>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</si>
  <si>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</si>
  <si>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</si>
  <si>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</si>
  <si>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</si>
  <si>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</si>
  <si>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</si>
  <si>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</si>
  <si>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</si>
  <si>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</si>
  <si>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</si>
  <si>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</si>
  <si>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</si>
  <si>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</si>
  <si>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</si>
  <si>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</si>
  <si>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</si>
  <si>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</si>
  <si>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</si>
  <si>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</si>
  <si>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</si>
  <si>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</si>
  <si>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</si>
  <si>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</si>
  <si>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</si>
  <si>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</si>
  <si>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</si>
  <si>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</si>
  <si>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</si>
  <si>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</si>
  <si>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</si>
  <si>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</si>
  <si>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</si>
  <si>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</si>
  <si>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</si>
  <si>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</si>
  <si>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</si>
  <si>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</si>
  <si>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</si>
  <si>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</si>
  <si>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</si>
  <si>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</si>
  <si>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</si>
  <si>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</si>
  <si>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</si>
  <si>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</si>
  <si>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</si>
  <si>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</si>
  <si>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</si>
  <si>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</si>
  <si>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</si>
  <si>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</si>
  <si>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</si>
  <si>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</si>
  <si>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</si>
  <si>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</si>
  <si>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</si>
  <si>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</si>
  <si>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</si>
  <si>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</si>
  <si>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</si>
  <si>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</si>
  <si>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</si>
  <si>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</si>
  <si>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</si>
  <si>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</si>
  <si>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</si>
  <si>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</si>
  <si>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</si>
  <si>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</si>
  <si>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</si>
  <si>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</si>
  <si>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</si>
  <si>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</si>
  <si>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</si>
  <si>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</si>
  <si>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</si>
  <si>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</si>
  <si>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</si>
  <si>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</si>
  <si>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</si>
  <si>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</si>
  <si>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</si>
  <si>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</si>
  <si>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</si>
  <si>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</si>
  <si>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</si>
  <si>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</si>
  <si>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</si>
  <si>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</si>
  <si>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</si>
  <si>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</si>
  <si>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</si>
  <si>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</si>
  <si>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</si>
  <si>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</si>
  <si>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</si>
  <si>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</si>
  <si>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</si>
  <si>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</si>
  <si>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</si>
  <si>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</si>
  <si>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</si>
  <si>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</si>
  <si>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</si>
  <si>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</si>
  <si>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</si>
  <si>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</si>
  <si>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</si>
  <si>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</si>
  <si>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</si>
  <si>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</si>
  <si>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</si>
  <si>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</si>
  <si>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</si>
  <si>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</si>
  <si>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</si>
  <si>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</si>
  <si>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</si>
  <si>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</si>
  <si>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</si>
  <si>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</si>
  <si>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</si>
  <si>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</si>
  <si>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</si>
  <si>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</si>
  <si>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</si>
  <si>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</si>
  <si>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</si>
  <si>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</si>
  <si>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</si>
  <si>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</si>
  <si>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</si>
  <si>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</si>
  <si>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</si>
  <si>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</si>
  <si>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</si>
  <si>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</si>
  <si>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</si>
  <si>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</si>
  <si>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</si>
  <si>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</si>
  <si>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</si>
  <si>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</si>
  <si>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</si>
  <si>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</si>
  <si>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</si>
  <si>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</si>
  <si>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</si>
  <si>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</si>
  <si>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</si>
  <si>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</si>
  <si>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</si>
  <si>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</si>
  <si>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</si>
  <si>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</si>
  <si>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</si>
  <si>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</si>
  <si>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</si>
  <si>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</si>
  <si>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</si>
  <si>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</si>
  <si>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</si>
  <si>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</si>
  <si>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</si>
  <si>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</si>
  <si>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</si>
  <si>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</si>
  <si>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</si>
  <si>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</si>
  <si>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</si>
  <si>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</si>
  <si>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</si>
  <si>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</si>
  <si>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</si>
  <si>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</si>
  <si>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</si>
  <si>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</si>
  <si>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</si>
  <si>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</si>
  <si>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</si>
  <si>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</si>
  <si>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</si>
  <si>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</si>
  <si>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</si>
  <si>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</si>
  <si>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</si>
  <si>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</si>
  <si>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</si>
  <si>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</si>
  <si>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</si>
  <si>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</si>
  <si>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</si>
  <si>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</si>
  <si>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</si>
  <si>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</si>
  <si>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</si>
  <si>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</si>
  <si>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</si>
  <si>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</si>
  <si>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</si>
  <si>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</si>
  <si>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</si>
  <si>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</si>
  <si>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</si>
  <si>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</si>
  <si>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</si>
  <si>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</si>
  <si>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</si>
  <si>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</si>
  <si>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</si>
  <si>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</si>
  <si>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</si>
  <si>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</si>
  <si>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</si>
  <si>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</si>
  <si>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</si>
  <si>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</si>
  <si>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</si>
  <si>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</si>
  <si>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</si>
  <si>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</si>
  <si>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</si>
  <si>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</si>
  <si>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</si>
  <si>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</si>
  <si>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</si>
  <si>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</si>
  <si>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</si>
  <si>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</si>
  <si>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</si>
  <si>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</si>
  <si>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</si>
  <si>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</si>
  <si>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</si>
  <si>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</si>
  <si>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</si>
  <si>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</si>
  <si>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</si>
  <si>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</si>
  <si>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</si>
  <si>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</si>
  <si>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</si>
  <si>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</si>
  <si>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</si>
  <si>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</si>
  <si>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</si>
  <si>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</si>
  <si>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</si>
  <si>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</si>
  <si>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</si>
  <si>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</si>
  <si>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</si>
  <si>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</si>
  <si>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</si>
  <si>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</si>
  <si>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</si>
  <si>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</si>
  <si>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</si>
  <si>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</si>
  <si>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</si>
  <si>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</si>
  <si>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</si>
  <si>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</si>
  <si>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</si>
  <si>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</si>
  <si>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</si>
  <si>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</si>
  <si>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</si>
  <si>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</si>
  <si>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</si>
  <si>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</si>
  <si>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</si>
  <si>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</si>
  <si>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</si>
  <si>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</si>
  <si>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</si>
  <si>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</si>
  <si>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</si>
  <si>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</si>
  <si>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</si>
  <si>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</si>
  <si>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</si>
  <si>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</si>
  <si>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</si>
  <si>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</si>
  <si>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</si>
  <si>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</si>
  <si>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</si>
  <si>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</si>
  <si>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</si>
  <si>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</si>
  <si>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</si>
  <si>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</si>
  <si>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</si>
  <si>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</si>
  <si>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</si>
  <si>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</si>
  <si>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</si>
  <si>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</si>
  <si>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</si>
  <si>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</si>
  <si>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</si>
  <si>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</si>
  <si>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</si>
  <si>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</si>
  <si>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</si>
  <si>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</si>
  <si>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</si>
  <si>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</si>
  <si>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</si>
  <si>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</si>
  <si>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</si>
  <si>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</si>
  <si>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</si>
  <si>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</si>
  <si>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</si>
  <si>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</si>
  <si>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</si>
  <si>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</si>
  <si>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</si>
  <si>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</si>
  <si>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</si>
  <si>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</si>
  <si>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</si>
  <si>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</si>
  <si>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</si>
  <si>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</si>
  <si>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</si>
  <si>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</si>
  <si>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</si>
  <si>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</si>
  <si>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</si>
  <si>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</si>
  <si>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</si>
  <si>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</si>
  <si>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</si>
  <si>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</si>
  <si>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</si>
  <si>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</si>
  <si>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</si>
  <si>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</si>
  <si>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</si>
  <si>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</si>
  <si>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</si>
  <si>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</si>
  <si>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</si>
  <si>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</si>
  <si>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</si>
  <si>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</si>
  <si>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</si>
  <si>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</si>
  <si>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</si>
  <si>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</si>
  <si>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</si>
  <si>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</si>
  <si>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</si>
  <si>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</si>
  <si>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</si>
  <si>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</si>
  <si>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</si>
  <si>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</si>
  <si>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</si>
  <si>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</si>
  <si>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</si>
  <si>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</si>
  <si>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</si>
  <si>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</si>
  <si>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</si>
  <si>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</si>
  <si>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</si>
  <si>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</si>
  <si>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</si>
  <si>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</si>
  <si>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</si>
  <si>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</si>
  <si>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</si>
  <si>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</si>
  <si>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</si>
  <si>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</si>
  <si>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</si>
  <si>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</si>
  <si>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</si>
  <si>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</si>
  <si>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</si>
  <si>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</si>
  <si>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</si>
  <si>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</si>
  <si>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</si>
  <si>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</si>
  <si>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</si>
  <si>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</si>
  <si>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</si>
  <si>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</si>
  <si>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</si>
  <si>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</si>
  <si>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</si>
  <si>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</si>
  <si>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</si>
  <si>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</si>
  <si>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</si>
  <si>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</si>
  <si>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</si>
  <si>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</si>
  <si>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</si>
  <si>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</si>
  <si>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</si>
  <si>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</si>
  <si>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</si>
  <si>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</si>
  <si>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</si>
  <si>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</si>
  <si>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</si>
  <si>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</si>
  <si>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</si>
  <si>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</si>
  <si>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</si>
  <si>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</si>
  <si>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</si>
  <si>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</si>
  <si>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</si>
  <si>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</si>
  <si>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</si>
  <si>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</si>
  <si>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</si>
  <si>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</si>
  <si>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</si>
  <si>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</si>
  <si>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</si>
  <si>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</si>
  <si>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</si>
  <si>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</si>
  <si>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</si>
  <si>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</si>
  <si>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</si>
  <si>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</si>
  <si>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</si>
  <si>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</si>
  <si>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</si>
  <si>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</si>
  <si>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</si>
  <si>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</si>
  <si>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</si>
  <si>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</si>
  <si>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</si>
  <si>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</si>
  <si>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</si>
  <si>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</si>
  <si>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</si>
  <si>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</si>
  <si>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</si>
  <si>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</si>
  <si>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</si>
  <si>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</si>
  <si>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</si>
  <si>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</si>
  <si>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</si>
  <si>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</si>
  <si>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</si>
  <si>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</si>
  <si>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</si>
  <si>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</si>
  <si>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</si>
  <si>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</si>
  <si>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</si>
  <si>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</si>
  <si>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</si>
  <si>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</si>
  <si>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</si>
  <si>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</si>
  <si>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</si>
  <si>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</si>
  <si>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</si>
  <si>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</si>
  <si>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</si>
  <si>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</si>
  <si>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</si>
  <si>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</si>
  <si>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</si>
  <si>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</si>
  <si>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</si>
  <si>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</si>
  <si>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</si>
  <si>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</si>
  <si>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</si>
  <si>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</si>
  <si>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</si>
  <si>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</si>
  <si>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</si>
  <si>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</si>
  <si>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</si>
  <si>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</si>
  <si>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</si>
  <si>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</si>
  <si>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</si>
  <si>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</si>
  <si>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</si>
  <si>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</si>
  <si>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</si>
  <si>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</si>
  <si>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</si>
  <si>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</si>
  <si>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</si>
  <si>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</si>
  <si>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</si>
  <si>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</si>
  <si>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</si>
  <si>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</si>
  <si>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</si>
  <si>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</si>
  <si>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</si>
  <si>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</si>
  <si>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</si>
  <si>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</si>
  <si>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</si>
  <si>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</si>
  <si>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</si>
  <si>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</si>
  <si>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</si>
  <si>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</si>
  <si>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</si>
  <si>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</si>
  <si>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</si>
  <si>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</si>
  <si>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</si>
  <si>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</si>
  <si>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</si>
  <si>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</si>
  <si>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</si>
  <si>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</si>
  <si>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</si>
  <si>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</si>
  <si>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</si>
  <si>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</si>
  <si>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</si>
  <si>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</si>
  <si>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</si>
  <si>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</si>
  <si>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</si>
  <si>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</si>
  <si>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</si>
  <si>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</si>
  <si>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</si>
  <si>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</si>
  <si>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</si>
  <si>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</si>
  <si>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</si>
  <si>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</si>
  <si>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</si>
  <si>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</si>
  <si>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</si>
  <si>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</si>
  <si>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</si>
  <si>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</si>
  <si>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</si>
  <si>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</si>
  <si>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</si>
  <si>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</si>
  <si>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</si>
  <si>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</si>
  <si>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</si>
  <si>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</si>
  <si>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</si>
  <si>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</si>
  <si>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</si>
  <si>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</si>
  <si>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</si>
  <si>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</si>
  <si>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</si>
  <si>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</si>
  <si>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</si>
  <si>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</si>
  <si>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</si>
  <si>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</si>
  <si>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</si>
  <si>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</si>
  <si>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</si>
  <si>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</si>
  <si>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</si>
  <si>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</si>
  <si>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</si>
  <si>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</si>
  <si>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</si>
  <si>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</si>
  <si>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</si>
  <si>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</si>
  <si>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</si>
  <si>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</si>
  <si>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</si>
  <si>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</si>
  <si>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</si>
  <si>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</si>
  <si>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</si>
  <si>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</si>
  <si>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</si>
  <si>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</si>
  <si>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</si>
  <si>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</si>
  <si>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</si>
  <si>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</si>
  <si>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</si>
  <si>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</si>
  <si>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</si>
  <si>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</si>
  <si>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</si>
  <si>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</si>
  <si>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</si>
  <si>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</si>
  <si>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</si>
  <si>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</si>
  <si>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</si>
  <si>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</si>
  <si>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</si>
  <si>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</si>
  <si>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</si>
  <si>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</si>
  <si>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</si>
  <si>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</si>
  <si>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</si>
  <si>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</si>
  <si>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</si>
  <si>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</si>
  <si>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</si>
  <si>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</si>
  <si>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</si>
  <si>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</si>
  <si>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</si>
  <si>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</si>
  <si>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</si>
  <si>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</si>
  <si>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</si>
  <si>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</si>
  <si>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</si>
  <si>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</si>
  <si>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</si>
  <si>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</si>
  <si>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</si>
  <si>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</si>
  <si>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</si>
  <si>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</si>
  <si>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</si>
  <si>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</si>
  <si>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</si>
  <si>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</si>
  <si>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</si>
  <si>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</si>
  <si>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</si>
  <si>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</si>
  <si>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</si>
  <si>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</si>
  <si>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</si>
  <si>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</si>
  <si>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</si>
  <si>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</si>
  <si>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</si>
  <si>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</si>
  <si>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</si>
  <si>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</si>
  <si>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</si>
  <si>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</si>
  <si>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</si>
  <si>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</si>
  <si>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</si>
  <si>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</si>
  <si>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</si>
  <si>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</si>
  <si>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</si>
  <si>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</si>
  <si>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</si>
  <si>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</si>
  <si>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</si>
  <si>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</si>
  <si>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</si>
  <si>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</si>
  <si>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</si>
  <si>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</si>
  <si>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</si>
  <si>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</si>
  <si>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</si>
  <si>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</si>
  <si>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</si>
  <si>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</si>
  <si>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</si>
  <si>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</si>
  <si>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</si>
  <si>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</si>
  <si>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</si>
  <si>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</si>
  <si>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</si>
  <si>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</si>
  <si>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</si>
  <si>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</si>
  <si>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</si>
  <si>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</si>
  <si>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</si>
  <si>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</si>
  <si>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</si>
  <si>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</si>
  <si>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</si>
  <si>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</si>
  <si>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</si>
  <si>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</si>
  <si>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</si>
  <si>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</si>
  <si>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</si>
  <si>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</si>
  <si>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</si>
  <si>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</si>
  <si>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</si>
  <si>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</si>
  <si>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</si>
  <si>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</si>
  <si>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</si>
  <si>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</si>
  <si>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</si>
  <si>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</si>
  <si>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</si>
  <si>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</si>
  <si>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</si>
  <si>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</si>
  <si>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</si>
  <si>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</si>
  <si>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</si>
  <si>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</si>
  <si>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</si>
  <si>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</si>
  <si>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</si>
  <si>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</si>
  <si>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</si>
  <si>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</si>
  <si>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</si>
  <si>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</si>
  <si>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</si>
  <si>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</si>
  <si>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</si>
  <si>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</si>
  <si>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</si>
  <si>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</si>
  <si>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</si>
  <si>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</si>
  <si>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</si>
  <si>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</si>
  <si>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</si>
  <si>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</si>
  <si>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</si>
  <si>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</si>
  <si>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</si>
  <si>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</si>
  <si>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</si>
  <si>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</si>
  <si>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</si>
  <si>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</si>
  <si>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</si>
  <si>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</si>
  <si>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</si>
  <si>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</si>
  <si>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</si>
  <si>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</si>
  <si>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</si>
  <si>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</si>
  <si>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</si>
  <si>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</si>
  <si>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</si>
  <si>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</si>
  <si>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</si>
  <si>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</si>
  <si>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</si>
  <si>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</si>
  <si>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</si>
  <si>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</si>
  <si>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</si>
  <si>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</si>
  <si>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</si>
  <si>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</si>
  <si>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</si>
  <si>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</si>
  <si>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</si>
  <si>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</si>
  <si>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</si>
  <si>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</si>
  <si>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</si>
  <si>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</si>
  <si>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</si>
  <si>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</si>
  <si>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</si>
  <si>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</si>
  <si>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</si>
  <si>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</si>
  <si>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</si>
  <si>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</si>
  <si>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</si>
  <si>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</si>
  <si>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</si>
  <si>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</si>
  <si>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</si>
  <si>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</si>
  <si>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</si>
  <si>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</si>
  <si>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</si>
  <si>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</si>
  <si>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</si>
  <si>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</si>
  <si>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</si>
  <si>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</si>
  <si>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</si>
  <si>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</si>
  <si>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</si>
  <si>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</si>
  <si>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</si>
  <si>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</si>
  <si>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</si>
  <si>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</si>
  <si>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</si>
  <si>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</si>
  <si>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</si>
  <si>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</si>
  <si>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</si>
  <si>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</si>
  <si>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</si>
  <si>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</si>
  <si>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</si>
  <si>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</si>
  <si>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</si>
  <si>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</si>
  <si>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</si>
  <si>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</si>
  <si>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</si>
  <si>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</si>
  <si>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</si>
  <si>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</si>
  <si>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</si>
  <si>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</si>
  <si>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</si>
  <si>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</si>
  <si>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</si>
  <si>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</si>
  <si>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</si>
  <si>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</si>
  <si>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</si>
  <si>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</si>
  <si>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</si>
  <si>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</si>
  <si>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</si>
  <si>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</si>
  <si>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</si>
  <si>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</si>
  <si>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</si>
  <si>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</si>
  <si>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</si>
  <si>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</si>
  <si>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</si>
  <si>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</si>
  <si>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</si>
  <si>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</si>
  <si>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</si>
  <si>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</si>
  <si>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</si>
  <si>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</si>
  <si>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</si>
  <si>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</si>
  <si>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</si>
  <si>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</si>
  <si>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</si>
  <si>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</si>
  <si>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</si>
  <si>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</si>
  <si>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</si>
  <si>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</si>
  <si>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</si>
  <si>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</si>
  <si>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</si>
  <si>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</si>
  <si>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</si>
  <si>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</si>
  <si>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</si>
  <si>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</si>
  <si>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</si>
  <si>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</si>
  <si>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</si>
  <si>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</si>
  <si>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</si>
  <si>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</si>
  <si>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</si>
  <si>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</si>
  <si>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</si>
  <si>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</si>
  <si>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</si>
  <si>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</si>
  <si>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</si>
  <si>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</si>
  <si>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</si>
  <si>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</si>
  <si>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</si>
  <si>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</si>
  <si>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</si>
  <si>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</si>
  <si>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</si>
  <si>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</si>
  <si>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</si>
  <si>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</si>
  <si>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</si>
  <si>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</si>
  <si>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</si>
  <si>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</si>
  <si>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</si>
  <si>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</si>
  <si>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</si>
  <si>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</si>
  <si>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</si>
  <si>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</si>
  <si>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</si>
  <si>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</si>
  <si>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</si>
  <si>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</si>
  <si>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</si>
  <si>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</si>
  <si>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</si>
  <si>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</si>
  <si>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</si>
  <si>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</si>
  <si>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</si>
  <si>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</si>
  <si>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</si>
  <si>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</si>
  <si>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</si>
  <si>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</si>
  <si>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</si>
  <si>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</si>
  <si>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</si>
  <si>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</si>
  <si>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</si>
  <si>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</si>
  <si>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</si>
  <si>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</si>
  <si>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</si>
  <si>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</si>
  <si>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</si>
  <si>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</si>
  <si>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</si>
  <si>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</si>
  <si>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</si>
  <si>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</si>
  <si>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</si>
  <si>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</si>
  <si>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</si>
  <si>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</si>
  <si>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</si>
  <si>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</si>
  <si>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</si>
  <si>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</si>
  <si>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</si>
  <si>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</si>
  <si>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</si>
  <si>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</si>
  <si>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</si>
  <si>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</si>
  <si>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</si>
  <si>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</si>
  <si>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</si>
  <si>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</si>
  <si>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</si>
  <si>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</si>
  <si>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</si>
  <si>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</si>
  <si>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</si>
  <si>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</si>
  <si>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</si>
  <si>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</si>
  <si>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</si>
  <si>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</si>
  <si>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</si>
  <si>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</si>
  <si>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</si>
  <si>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</si>
  <si>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</si>
  <si>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</si>
  <si>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</si>
  <si>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</si>
  <si>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</si>
  <si>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</si>
  <si>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</si>
  <si>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</si>
  <si>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</si>
  <si>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</si>
  <si>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</si>
  <si>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</si>
  <si>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</si>
  <si>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</si>
  <si>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</si>
  <si>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</si>
  <si>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</si>
  <si>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</si>
  <si>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</si>
  <si>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</si>
  <si>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</si>
  <si>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</si>
  <si>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</si>
  <si>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</si>
  <si>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</si>
  <si>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</si>
  <si>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</si>
  <si>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</si>
  <si>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</si>
  <si>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</si>
  <si>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</si>
  <si>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</si>
  <si>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</si>
  <si>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</si>
  <si>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</si>
  <si>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</si>
  <si>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</si>
  <si>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</si>
  <si>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</si>
  <si>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</si>
  <si>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</si>
  <si>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</si>
  <si>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</si>
  <si>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</si>
  <si>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</si>
  <si>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</si>
  <si>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</si>
  <si>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</si>
  <si>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</si>
  <si>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</si>
  <si>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</si>
  <si>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</si>
  <si>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</si>
  <si>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</si>
  <si>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</si>
  <si>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</si>
  <si>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</si>
  <si>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</si>
  <si>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</si>
  <si>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</si>
  <si>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</si>
  <si>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</si>
  <si>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</si>
  <si>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</si>
  <si>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</si>
  <si>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</si>
  <si>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</si>
  <si>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</si>
  <si>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</si>
  <si>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</si>
  <si>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</si>
  <si>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</si>
  <si>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</si>
  <si>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</si>
  <si>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</si>
  <si>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</si>
  <si>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</si>
  <si>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</si>
  <si>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</si>
  <si>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</si>
  <si>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</si>
  <si>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</si>
  <si>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</si>
  <si>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</si>
  <si>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</si>
  <si>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</si>
  <si>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</si>
  <si>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</si>
  <si>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</si>
  <si>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</si>
  <si>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</si>
  <si>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</si>
  <si>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</si>
  <si>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</si>
  <si>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</si>
  <si>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</si>
  <si>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</si>
  <si>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</si>
  <si>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</si>
  <si>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</si>
  <si>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</si>
  <si>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</si>
  <si>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</si>
  <si>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</si>
  <si>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</si>
  <si>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</si>
  <si>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</si>
  <si>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</si>
  <si>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</si>
  <si>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</si>
  <si>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</si>
  <si>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</si>
  <si>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</si>
  <si>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</si>
  <si>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</si>
  <si>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</si>
  <si>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</si>
  <si>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</si>
  <si>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</si>
  <si>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</si>
  <si>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</si>
  <si>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</si>
  <si>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</si>
  <si>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</si>
  <si>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</si>
  <si>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</si>
  <si>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</si>
  <si>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</si>
  <si>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</si>
  <si>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</si>
  <si>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</si>
  <si>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</si>
  <si>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</si>
  <si>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</si>
  <si>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</si>
  <si>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</si>
  <si>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Field Name</t>
  </si>
  <si>
    <t>Count Filled</t>
  </si>
  <si>
    <t>Count Missing</t>
  </si>
  <si>
    <t>Unit Price</t>
  </si>
  <si>
    <t>Numeric Field</t>
  </si>
  <si>
    <t>MIN</t>
  </si>
  <si>
    <t>MAX</t>
  </si>
  <si>
    <t>AVERAGE</t>
  </si>
  <si>
    <t>COUNT</t>
  </si>
  <si>
    <t xml:space="preserve"> Field</t>
  </si>
  <si>
    <t>Q1</t>
  </si>
  <si>
    <t>IQR</t>
  </si>
  <si>
    <t>Lower</t>
  </si>
  <si>
    <t>Upper</t>
  </si>
  <si>
    <t>Outlier Count</t>
  </si>
  <si>
    <t xml:space="preserve"> TotalPrice</t>
  </si>
  <si>
    <t xml:space="preserve"> </t>
  </si>
  <si>
    <r>
      <t xml:space="preserve"> </t>
    </r>
    <r>
      <rPr>
        <b/>
        <sz val="11"/>
        <color theme="1"/>
        <rFont val="Calibri"/>
        <family val="2"/>
        <scheme val="minor"/>
      </rPr>
      <t>Outlier Check - TotalPrice</t>
    </r>
  </si>
  <si>
    <t>Q3</t>
  </si>
  <si>
    <t>% Complete</t>
  </si>
  <si>
    <t>Row Labels</t>
  </si>
  <si>
    <t>Grand Total</t>
  </si>
  <si>
    <t>Count of PaymentMethod</t>
  </si>
  <si>
    <t>Total Orders</t>
  </si>
  <si>
    <t>Online Payment</t>
  </si>
  <si>
    <t>Average Value</t>
  </si>
  <si>
    <t>Coupon Used</t>
  </si>
  <si>
    <t>Top Category</t>
  </si>
  <si>
    <t>Electronics</t>
  </si>
  <si>
    <t>Count of OrderStatus</t>
  </si>
  <si>
    <t>Count of Product</t>
  </si>
  <si>
    <t>Sum of Quantity</t>
  </si>
  <si>
    <t>ELECTRONICS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</si>
</sst>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9" fontId="0" fillId="0" borderId="1" xfId="1" applyFont="1" applyBorder="1"/>
    <xf numFmtId="0" fontId="3" fillId="0" borderId="0" xfId="0" applyFont="1"/>
    <xf numFmtId="2" fontId="0" fillId="0" borderId="1" xfId="0" applyNumberFormat="1" applyBorder="1"/>
    <xf numFmtId="0" fontId="0" fillId="2" borderId="1" xfId="0" applyFill="1" applyBorder="1"/>
    <xf numFmtId="0" fontId="5" fillId="3" borderId="1" xfId="0" applyFont="1" applyFill="1" applyBorder="1"/>
    <xf numFmtId="9" fontId="5" fillId="3" borderId="1" xfId="1" applyFont="1" applyFill="1" applyBorder="1"/>
    <xf numFmtId="0" fontId="1" fillId="0" borderId="1" xfId="0" applyFont="1" applyBorder="1"/>
    <xf numFmtId="9" fontId="1" fillId="0" borderId="1" xfId="1" applyFont="1" applyBorder="1"/>
    <xf numFmtId="0" fontId="1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4" fillId="4" borderId="0" xfId="0" applyFont="1" applyFill="1"/>
    <xf numFmtId="0" fontId="6" fillId="4" borderId="0" xfId="0" applyFont="1" applyFill="1"/>
    <xf numFmtId="0" fontId="6" fillId="4" borderId="0" xfId="0" applyFont="1" applyFill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6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project2.xlsx]Dashboard!PivotTable1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Payment</a:t>
            </a:r>
            <a:r>
              <a:rPr lang="en-US" b="1" baseline="0"/>
              <a:t> Method-% of Orders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3648731408573928"/>
          <c:y val="0.30458406240886554"/>
          <c:w val="0.34647003499562556"/>
          <c:h val="0.57745005832604257"/>
        </c:manualLayout>
      </c:layout>
      <c:doughnutChart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6CC-4E41-838E-80A1784CDFD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6CC-4E41-838E-80A1784CDFD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6CC-4E41-838E-80A1784CDFD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6CC-4E41-838E-80A1784CDFD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B6CC-4E41-838E-80A1784CDF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Dashboard!$A$9:$A$14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Dashboard!$B$9:$B$14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E-4DF5-B3B5-6BEB85EA0CC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project2.xlsx]Dashboard!PivotTable2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Order</a:t>
            </a:r>
            <a:r>
              <a:rPr lang="en-US" baseline="0">
                <a:solidFill>
                  <a:schemeClr val="bg1"/>
                </a:solidFill>
              </a:rPr>
              <a:t> Status - Count of Orders</a:t>
            </a:r>
          </a:p>
          <a:p>
            <a:pPr>
              <a:defRPr>
                <a:solidFill>
                  <a:schemeClr val="bg1"/>
                </a:solidFill>
              </a:defRPr>
            </a:pP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Dashboard!$D$9:$D$14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Dashboard!$E$9:$E$14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C-4B8D-BDE1-6A3FF06A9F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5299103"/>
        <c:axId val="1245301983"/>
      </c:barChart>
      <c:catAx>
        <c:axId val="124529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301983"/>
        <c:crosses val="autoZero"/>
        <c:auto val="1"/>
        <c:lblAlgn val="ctr"/>
        <c:lblOffset val="100"/>
        <c:noMultiLvlLbl val="0"/>
      </c:catAx>
      <c:valAx>
        <c:axId val="124530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9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project2.xlsx]Dashboard!PivotTable3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</a:t>
            </a:r>
            <a:r>
              <a:rPr lang="en-US" baseline="0">
                <a:solidFill>
                  <a:schemeClr val="bg1"/>
                </a:solidFill>
              </a:rPr>
              <a:t> 5 Best-Selling Products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Dashboard!$A$32:$A$37</c:f>
              <c:strCache>
                <c:ptCount val="5"/>
                <c:pt idx="0">
                  <c:v>Tablet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Chair</c:v>
                </c:pt>
              </c:strCache>
            </c:strRef>
          </c:cat>
          <c:val>
            <c:numRef>
              <c:f>Dashboard!$B$32:$B$37</c:f>
              <c:numCache>
                <c:formatCode>General</c:formatCode>
                <c:ptCount val="5"/>
                <c:pt idx="0">
                  <c:v>179</c:v>
                </c:pt>
                <c:pt idx="1">
                  <c:v>181</c:v>
                </c:pt>
                <c:pt idx="2">
                  <c:v>173</c:v>
                </c:pt>
                <c:pt idx="3">
                  <c:v>170</c:v>
                </c:pt>
                <c:pt idx="4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C-4932-9D0D-9BB76510F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5290943"/>
        <c:axId val="1245276543"/>
      </c:barChart>
      <c:catAx>
        <c:axId val="124529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76543"/>
        <c:crosses val="autoZero"/>
        <c:auto val="1"/>
        <c:lblAlgn val="ctr"/>
        <c:lblOffset val="100"/>
        <c:noMultiLvlLbl val="0"/>
      </c:catAx>
      <c:valAx>
        <c:axId val="124527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9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project2.xlsx]Dashboard!PivotTable4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Quantity</a:t>
            </a:r>
            <a:r>
              <a:rPr lang="en-US" sz="1600" b="1" baseline="0">
                <a:solidFill>
                  <a:schemeClr val="bg1"/>
                </a:solidFill>
              </a:rPr>
              <a:t> by Payment Method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Dashboard!$A$47:$A$52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Dashboard!$B$47:$B$52</c:f>
              <c:numCache>
                <c:formatCode>General</c:formatCode>
                <c:ptCount val="5"/>
                <c:pt idx="0">
                  <c:v>753</c:v>
                </c:pt>
                <c:pt idx="1">
                  <c:v>712</c:v>
                </c:pt>
                <c:pt idx="2">
                  <c:v>664</c:v>
                </c:pt>
                <c:pt idx="3">
                  <c:v>675</c:v>
                </c:pt>
                <c:pt idx="4">
                  <c:v>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D-4F73-95D6-ED2901CED1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4308271"/>
        <c:axId val="1594308751"/>
      </c:barChart>
      <c:catAx>
        <c:axId val="159430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08751"/>
        <c:crosses val="autoZero"/>
        <c:auto val="1"/>
        <c:lblAlgn val="ctr"/>
        <c:lblOffset val="100"/>
        <c:noMultiLvlLbl val="0"/>
      </c:catAx>
      <c:valAx>
        <c:axId val="15943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0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14</xdr:row>
      <xdr:rowOff>3810</xdr:rowOff>
    </xdr:from>
    <xdr:to>
      <xdr:col>4</xdr:col>
      <xdr:colOff>289560</xdr:colOff>
      <xdr:row>29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44184-266C-1F7E-A7D5-B06C31764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297180</xdr:colOff>
      <xdr:row>14</xdr:row>
      <xdr:rowOff>3810</xdr:rowOff>
    </xdr:from>
    <xdr:to>
      <xdr:col>10</xdr:col>
      <xdr:colOff>518160</xdr:colOff>
      <xdr:row>29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2A933E-9198-8BBE-69F1-2DF363E6C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3810</xdr:rowOff>
    </xdr:from>
    <xdr:to>
      <xdr:col>4</xdr:col>
      <xdr:colOff>1219200</xdr:colOff>
      <xdr:row>45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0D95B6-4189-09CC-ACD3-62F6F455C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15240</xdr:colOff>
      <xdr:row>30</xdr:row>
      <xdr:rowOff>3810</xdr:rowOff>
    </xdr:from>
    <xdr:to>
      <xdr:col>12</xdr:col>
      <xdr:colOff>320040</xdr:colOff>
      <xdr:row>52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2B2985-4E8D-AA71-0D30-9771E5C48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2.868637962965" createdVersion="8" refreshedVersion="8" minRefreshableVersion="3" recordCount="1200" xr:uid="{747A18B8-0389-43A8-B972-CD6E16CE2A9E}">
  <cacheSource type="worksheet">
    <worksheetSource ref="A1:N1201" sheet="Raw Data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s v="Instagram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s v="Email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s v="Facebook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s v="Email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s v="Instagram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s v="Facebook"/>
    <n v="747.75"/>
  </r>
  <r>
    <s v="ORD200008"/>
    <d v="2025-04-02T00:00:00"/>
    <s v="C26817"/>
    <x v="1"/>
    <n v="2"/>
    <n v="134.28"/>
    <s v="904 Main St"/>
    <x v="3"/>
    <x v="1"/>
    <s v="TRK61042692"/>
    <n v="2"/>
    <m/>
    <s v="Email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s v="Google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s v="Instagram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s v="Referral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s v="Facebook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s v="Instagram"/>
    <n v="786.66"/>
  </r>
  <r>
    <s v="ORD200015"/>
    <d v="2023-07-17T00:00:00"/>
    <s v="C39416"/>
    <x v="4"/>
    <n v="1"/>
    <n v="473.96"/>
    <s v="942 Main St"/>
    <x v="4"/>
    <x v="3"/>
    <s v="TRK54930938"/>
    <n v="3"/>
    <m/>
    <s v="Google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s v="Referral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s v="Facebook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s v="Google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s v="Instagram"/>
    <n v="312.55"/>
  </r>
  <r>
    <s v="ORD200021"/>
    <d v="2024-11-17T00:00:00"/>
    <s v="C99023"/>
    <x v="0"/>
    <n v="4"/>
    <n v="342.95"/>
    <s v="569 Main St"/>
    <x v="4"/>
    <x v="3"/>
    <s v="TRK52646983"/>
    <n v="6"/>
    <m/>
    <s v="Google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s v="Google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s v="Referral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s v="Referral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s v="Email"/>
    <n v="399.98"/>
  </r>
  <r>
    <s v="ORD200026"/>
    <d v="2024-03-06T00:00:00"/>
    <s v="C21944"/>
    <x v="5"/>
    <n v="5"/>
    <n v="59.55"/>
    <s v="296 Main St"/>
    <x v="1"/>
    <x v="3"/>
    <s v="TRK80276812"/>
    <n v="6"/>
    <m/>
    <s v="Referral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s v="Google"/>
    <n v="472.74"/>
  </r>
  <r>
    <s v="ORD200028"/>
    <d v="2023-11-21T00:00:00"/>
    <s v="C59823"/>
    <x v="1"/>
    <n v="4"/>
    <n v="160.07"/>
    <s v="568 Main St"/>
    <x v="1"/>
    <x v="4"/>
    <s v="TRK65895539"/>
    <n v="5"/>
    <m/>
    <s v="Email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s v="Referral"/>
    <n v="853.4"/>
  </r>
  <r>
    <s v="ORD200031"/>
    <d v="2023-06-30T00:00:00"/>
    <s v="C26445"/>
    <x v="3"/>
    <n v="3"/>
    <n v="500.08"/>
    <s v="996 Main St"/>
    <x v="0"/>
    <x v="2"/>
    <s v="TRK31229981"/>
    <n v="6"/>
    <m/>
    <s v="Facebook"/>
    <n v="1500.24"/>
  </r>
  <r>
    <s v="ORD200032"/>
    <d v="2023-05-01T00:00:00"/>
    <s v="C12388"/>
    <x v="2"/>
    <n v="5"/>
    <n v="536.72"/>
    <s v="830 Main St"/>
    <x v="4"/>
    <x v="3"/>
    <s v="TRK99261395"/>
    <n v="10"/>
    <m/>
    <s v="Email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s v="Facebook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s v="Instagram"/>
    <n v="1834.35"/>
  </r>
  <r>
    <s v="ORD200042"/>
    <d v="2024-05-06T00:00:00"/>
    <s v="C28712"/>
    <x v="4"/>
    <n v="2"/>
    <n v="151.66"/>
    <s v="980 Main St"/>
    <x v="4"/>
    <x v="1"/>
    <s v="TRK40772558"/>
    <n v="6"/>
    <m/>
    <s v="Instagram"/>
    <n v="303.32"/>
  </r>
  <r>
    <s v="ORD200043"/>
    <d v="2023-12-14T00:00:00"/>
    <s v="C60572"/>
    <x v="3"/>
    <n v="3"/>
    <n v="499.21"/>
    <s v="871 Main St"/>
    <x v="1"/>
    <x v="1"/>
    <s v="TRK20351666"/>
    <n v="8"/>
    <m/>
    <s v="Instagram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s v="Facebook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s v="Instagram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s v="Email"/>
    <n v="419.88"/>
  </r>
  <r>
    <s v="ORD200048"/>
    <d v="2023-08-26T00:00:00"/>
    <s v="C12408"/>
    <x v="0"/>
    <n v="2"/>
    <n v="80.77"/>
    <s v="464 Main St"/>
    <x v="0"/>
    <x v="0"/>
    <s v="TRK38938858"/>
    <n v="4"/>
    <m/>
    <s v="Google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s v="Email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s v="Instagram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s v="Google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s v="Email"/>
    <n v="280.25"/>
  </r>
  <r>
    <s v="ORD200055"/>
    <d v="2025-06-24T00:00:00"/>
    <s v="C95984"/>
    <x v="4"/>
    <n v="3"/>
    <n v="344.4"/>
    <s v="565 Main St"/>
    <x v="1"/>
    <x v="1"/>
    <s v="TRK67434829"/>
    <n v="3"/>
    <m/>
    <s v="Facebook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s v="Referral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s v="Instagram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s v="Google"/>
    <n v="1898.76"/>
  </r>
  <r>
    <s v="ORD200059"/>
    <d v="2024-09-11T00:00:00"/>
    <s v="C97603"/>
    <x v="3"/>
    <n v="4"/>
    <n v="593.27"/>
    <s v="811 Main St"/>
    <x v="1"/>
    <x v="0"/>
    <s v="TRK47055028"/>
    <n v="5"/>
    <m/>
    <s v="Facebook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s v="Referral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s v="Facebook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s v="Email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s v="Facebook"/>
    <n v="391.83"/>
  </r>
  <r>
    <s v="ORD200065"/>
    <d v="2023-12-30T00:00:00"/>
    <s v="C97735"/>
    <x v="0"/>
    <n v="5"/>
    <n v="81.7"/>
    <s v="385 Main St"/>
    <x v="2"/>
    <x v="3"/>
    <s v="TRK13743703"/>
    <n v="6"/>
    <m/>
    <s v="Instagram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s v="Google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s v="Email"/>
    <n v="1472.76"/>
  </r>
  <r>
    <s v="ORD200069"/>
    <d v="2023-05-11T00:00:00"/>
    <s v="C43338"/>
    <x v="0"/>
    <n v="3"/>
    <n v="478.65"/>
    <s v="552 Main St"/>
    <x v="1"/>
    <x v="0"/>
    <s v="TRK35241775"/>
    <n v="4"/>
    <m/>
    <s v="Referral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s v="Instagram"/>
    <n v="629.21"/>
  </r>
  <r>
    <s v="ORD200071"/>
    <d v="2025-06-10T00:00:00"/>
    <s v="C37454"/>
    <x v="0"/>
    <n v="3"/>
    <n v="434.45"/>
    <s v="923 Main St"/>
    <x v="2"/>
    <x v="4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s v="Facebook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s v="Facebook"/>
    <n v="1733.8"/>
  </r>
  <r>
    <s v="ORD200074"/>
    <d v="2023-06-24T00:00:00"/>
    <s v="C25382"/>
    <x v="1"/>
    <n v="5"/>
    <n v="90.87"/>
    <s v="622 Main St"/>
    <x v="4"/>
    <x v="4"/>
    <s v="TRK64691287"/>
    <n v="5"/>
    <m/>
    <s v="Instagram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s v="Email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s v="Google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s v="Facebook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s v="Referral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s v="Referral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s v="Facebook"/>
    <n v="675.33"/>
  </r>
  <r>
    <s v="ORD200088"/>
    <d v="2025-06-05T00:00:00"/>
    <s v="C75439"/>
    <x v="6"/>
    <n v="3"/>
    <n v="114.81"/>
    <s v="318 Main St"/>
    <x v="3"/>
    <x v="1"/>
    <s v="TRK19831653"/>
    <n v="7"/>
    <m/>
    <s v="Google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s v="Google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s v="Email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s v="Referral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s v="Facebook"/>
    <n v="194.44"/>
  </r>
  <r>
    <s v="ORD200093"/>
    <d v="2023-01-14T00:00:00"/>
    <s v="C97262"/>
    <x v="6"/>
    <n v="4"/>
    <n v="431.01"/>
    <s v="837 Main St"/>
    <x v="2"/>
    <x v="2"/>
    <s v="TRK65990229"/>
    <n v="7"/>
    <m/>
    <s v="Referral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s v="Referral"/>
    <n v="470.04"/>
  </r>
  <r>
    <s v="ORD200096"/>
    <d v="2024-06-01T00:00:00"/>
    <s v="C93007"/>
    <x v="1"/>
    <n v="2"/>
    <n v="232.83"/>
    <s v="103 Main St"/>
    <x v="3"/>
    <x v="3"/>
    <s v="TRK85696091"/>
    <n v="7"/>
    <m/>
    <s v="Instagram"/>
    <n v="465.66"/>
  </r>
  <r>
    <s v="ORD200097"/>
    <d v="2025-01-21T00:00:00"/>
    <s v="C15624"/>
    <x v="2"/>
    <n v="5"/>
    <n v="619.52"/>
    <s v="922 Main St"/>
    <x v="0"/>
    <x v="4"/>
    <s v="TRK40621141"/>
    <n v="9"/>
    <m/>
    <s v="Email"/>
    <n v="3097.6"/>
  </r>
  <r>
    <s v="ORD200098"/>
    <d v="2023-01-14T00:00:00"/>
    <s v="C70921"/>
    <x v="4"/>
    <n v="2"/>
    <n v="228.54"/>
    <s v="533 Main St"/>
    <x v="0"/>
    <x v="4"/>
    <s v="TRK54983109"/>
    <n v="3"/>
    <m/>
    <s v="Email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s v="Email"/>
    <n v="201.58"/>
  </r>
  <r>
    <s v="ORD200100"/>
    <d v="2023-02-17T00:00:00"/>
    <s v="C74866"/>
    <x v="1"/>
    <n v="3"/>
    <n v="664.79"/>
    <s v="743 Main St"/>
    <x v="1"/>
    <x v="3"/>
    <s v="TRK53783265"/>
    <n v="6"/>
    <m/>
    <s v="Facebook"/>
    <n v="1994.37"/>
  </r>
  <r>
    <s v="ORD200101"/>
    <d v="2023-11-25T00:00:00"/>
    <s v="C15283"/>
    <x v="4"/>
    <n v="1"/>
    <n v="381.02"/>
    <s v="152 Main St"/>
    <x v="4"/>
    <x v="0"/>
    <s v="TRK19286291"/>
    <n v="6"/>
    <m/>
    <s v="Google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s v="Email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s v="Email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s v="Email"/>
    <n v="582.04"/>
  </r>
  <r>
    <s v="ORD200105"/>
    <d v="2024-10-24T00:00:00"/>
    <s v="C72290"/>
    <x v="4"/>
    <n v="3"/>
    <n v="185.4"/>
    <s v="810 Main St"/>
    <x v="3"/>
    <x v="1"/>
    <s v="TRK68792129"/>
    <n v="7"/>
    <m/>
    <s v="Facebook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s v="Email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s v="Instagram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s v="Email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s v="Referral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s v="Referral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s v="Google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s v="Referral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s v="Instagram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s v="Instagram"/>
    <n v="410.78"/>
  </r>
  <r>
    <s v="ORD200122"/>
    <d v="2024-04-15T00:00:00"/>
    <s v="C96787"/>
    <x v="5"/>
    <n v="2"/>
    <n v="533.02"/>
    <s v="588 Main St"/>
    <x v="3"/>
    <x v="0"/>
    <s v="TRK30422853"/>
    <n v="2"/>
    <m/>
    <s v="Facebook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s v="Google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s v="Email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s v="Google"/>
    <n v="1102"/>
  </r>
  <r>
    <s v="ORD200127"/>
    <d v="2023-08-10T00:00:00"/>
    <s v="C71486"/>
    <x v="6"/>
    <n v="3"/>
    <n v="469.32"/>
    <s v="365 Main St"/>
    <x v="0"/>
    <x v="0"/>
    <s v="TRK73929833"/>
    <n v="3"/>
    <m/>
    <s v="Google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s v="Google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s v="Facebook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s v="Facebook"/>
    <n v="1503.9"/>
  </r>
  <r>
    <s v="ORD200131"/>
    <d v="2023-01-08T00:00:00"/>
    <s v="C72862"/>
    <x v="2"/>
    <n v="1"/>
    <n v="84.8"/>
    <s v="606 Main St"/>
    <x v="3"/>
    <x v="4"/>
    <s v="TRK51648833"/>
    <n v="5"/>
    <m/>
    <s v="Instagram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s v="Email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s v="Google"/>
    <n v="1208.2"/>
  </r>
  <r>
    <s v="ORD200134"/>
    <d v="2025-06-23T00:00:00"/>
    <s v="C16253"/>
    <x v="5"/>
    <n v="2"/>
    <n v="199.7"/>
    <s v="583 Main St"/>
    <x v="4"/>
    <x v="4"/>
    <s v="TRK17354894"/>
    <n v="4"/>
    <m/>
    <s v="Email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s v="Referral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s v="Instagram"/>
    <n v="44.35"/>
  </r>
  <r>
    <s v="ORD200137"/>
    <d v="2024-11-26T00:00:00"/>
    <s v="C50682"/>
    <x v="0"/>
    <n v="2"/>
    <n v="250.98"/>
    <s v="598 Main St"/>
    <x v="2"/>
    <x v="3"/>
    <s v="TRK12242337"/>
    <n v="5"/>
    <m/>
    <s v="Google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s v="Google"/>
    <n v="298.06"/>
  </r>
  <r>
    <s v="ORD200139"/>
    <d v="2023-04-10T00:00:00"/>
    <s v="C61440"/>
    <x v="1"/>
    <n v="1"/>
    <n v="583.9"/>
    <s v="714 Main St"/>
    <x v="4"/>
    <x v="2"/>
    <s v="TRK33114521"/>
    <n v="1"/>
    <m/>
    <s v="Email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s v="Email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s v="Instagram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s v="Email"/>
    <n v="1363.85"/>
  </r>
  <r>
    <s v="ORD200143"/>
    <d v="2024-06-13T00:00:00"/>
    <s v="C66521"/>
    <x v="3"/>
    <n v="4"/>
    <n v="400.07"/>
    <s v="933 Main St"/>
    <x v="1"/>
    <x v="0"/>
    <s v="TRK34654244"/>
    <n v="5"/>
    <m/>
    <s v="Referral"/>
    <n v="1600.28"/>
  </r>
  <r>
    <s v="ORD200144"/>
    <d v="2023-08-04T00:00:00"/>
    <s v="C63365"/>
    <x v="6"/>
    <n v="5"/>
    <n v="219.78"/>
    <s v="895 Main St"/>
    <x v="2"/>
    <x v="4"/>
    <s v="TRK80100887"/>
    <n v="8"/>
    <m/>
    <s v="Facebook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s v="Google"/>
    <n v="440.73"/>
  </r>
  <r>
    <s v="ORD200146"/>
    <d v="2025-04-30T00:00:00"/>
    <s v="C84645"/>
    <x v="2"/>
    <n v="2"/>
    <n v="411.49"/>
    <s v="404 Main St"/>
    <x v="2"/>
    <x v="2"/>
    <s v="TRK68893369"/>
    <n v="4"/>
    <m/>
    <s v="Instagram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s v="Facebook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s v="Google"/>
    <n v="211.14"/>
  </r>
  <r>
    <s v="ORD200151"/>
    <d v="2023-12-01T00:00:00"/>
    <s v="C32960"/>
    <x v="4"/>
    <n v="5"/>
    <n v="444.76"/>
    <s v="947 Main St"/>
    <x v="0"/>
    <x v="2"/>
    <s v="TRK91226500"/>
    <n v="7"/>
    <m/>
    <s v="Email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s v="Referral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s v="Instagram"/>
    <n v="2137.92"/>
  </r>
  <r>
    <s v="ORD200154"/>
    <d v="2023-07-20T00:00:00"/>
    <s v="C73587"/>
    <x v="1"/>
    <n v="4"/>
    <n v="408.21"/>
    <s v="727 Main St"/>
    <x v="2"/>
    <x v="4"/>
    <s v="TRK13955543"/>
    <n v="9"/>
    <m/>
    <s v="Instagram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s v="Referral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s v="Referral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s v="Facebook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s v="Google"/>
    <n v="197.58"/>
  </r>
  <r>
    <s v="ORD200163"/>
    <d v="2025-06-24T00:00:00"/>
    <s v="C99589"/>
    <x v="2"/>
    <n v="1"/>
    <n v="641.39"/>
    <s v="277 Main St"/>
    <x v="1"/>
    <x v="1"/>
    <s v="TRK16695001"/>
    <n v="1"/>
    <m/>
    <s v="Referral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s v="Google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s v="Google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s v="Instagram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s v="Email"/>
    <n v="768.28"/>
  </r>
  <r>
    <s v="ORD200168"/>
    <d v="2025-01-04T00:00:00"/>
    <s v="C49517"/>
    <x v="4"/>
    <n v="1"/>
    <n v="594.96"/>
    <s v="878 Main St"/>
    <x v="4"/>
    <x v="2"/>
    <s v="TRK78551375"/>
    <n v="6"/>
    <m/>
    <s v="Facebook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s v="Email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s v="Instagram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s v="Instagram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s v="Email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s v="Referral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s v="Referral"/>
    <n v="1723.32"/>
  </r>
  <r>
    <s v="ORD200177"/>
    <d v="2023-08-05T00:00:00"/>
    <s v="C55632"/>
    <x v="3"/>
    <n v="5"/>
    <n v="431.69"/>
    <s v="354 Main St"/>
    <x v="2"/>
    <x v="4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s v="Email"/>
    <n v="1619.73"/>
  </r>
  <r>
    <s v="ORD200180"/>
    <d v="2023-03-18T00:00:00"/>
    <s v="C87216"/>
    <x v="2"/>
    <n v="5"/>
    <n v="316.07"/>
    <s v="970 Main St"/>
    <x v="4"/>
    <x v="2"/>
    <s v="TRK18713727"/>
    <n v="10"/>
    <m/>
    <s v="Google"/>
    <n v="1580.35"/>
  </r>
  <r>
    <s v="ORD200181"/>
    <d v="2024-08-31T00:00:00"/>
    <s v="C38966"/>
    <x v="4"/>
    <n v="5"/>
    <n v="404.39"/>
    <s v="247 Main St"/>
    <x v="1"/>
    <x v="0"/>
    <s v="TRK17205146"/>
    <n v="10"/>
    <m/>
    <s v="Referral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s v="Google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s v="Email"/>
    <n v="931.4"/>
  </r>
  <r>
    <s v="ORD200184"/>
    <d v="2024-04-04T00:00:00"/>
    <s v="C65180"/>
    <x v="2"/>
    <n v="4"/>
    <n v="214.54"/>
    <s v="231 Main St"/>
    <x v="3"/>
    <x v="1"/>
    <s v="TRK39255469"/>
    <n v="7"/>
    <m/>
    <s v="Referral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s v="Referral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s v="Referral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s v="Email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s v="Google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s v="Google"/>
    <n v="645.46"/>
  </r>
  <r>
    <s v="ORD200193"/>
    <d v="2023-07-21T00:00:00"/>
    <s v="C11644"/>
    <x v="4"/>
    <n v="1"/>
    <n v="46.66"/>
    <s v="429 Main St"/>
    <x v="4"/>
    <x v="1"/>
    <s v="TRK81320339"/>
    <n v="6"/>
    <m/>
    <s v="Google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s v="Google"/>
    <n v="249.57"/>
  </r>
  <r>
    <s v="ORD200195"/>
    <d v="2024-04-22T00:00:00"/>
    <s v="C63619"/>
    <x v="3"/>
    <n v="3"/>
    <n v="619.21"/>
    <s v="801 Main St"/>
    <x v="0"/>
    <x v="1"/>
    <s v="TRK65385674"/>
    <n v="6"/>
    <m/>
    <s v="Email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s v="Email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s v="Referral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s v="Referral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s v="Google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s v="Facebook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s v="Instagram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s v="Email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s v="Email"/>
    <n v="916.4"/>
  </r>
  <r>
    <s v="ORD200207"/>
    <d v="2025-03-18T00:00:00"/>
    <s v="C54595"/>
    <x v="1"/>
    <n v="1"/>
    <n v="121.96"/>
    <s v="999 Main St"/>
    <x v="0"/>
    <x v="3"/>
    <s v="TRK44416659"/>
    <n v="3"/>
    <m/>
    <s v="Google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s v="Facebook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s v="Google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s v="Facebook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s v="Email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s v="Email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s v="Google"/>
    <n v="1984"/>
  </r>
  <r>
    <s v="ORD200217"/>
    <d v="2024-05-20T00:00:00"/>
    <s v="C61549"/>
    <x v="6"/>
    <n v="4"/>
    <n v="321.51"/>
    <s v="908 Main St"/>
    <x v="4"/>
    <x v="2"/>
    <s v="TRK65596914"/>
    <n v="9"/>
    <m/>
    <s v="Google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s v="Instagram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s v="Referral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s v="Google"/>
    <n v="3196.85"/>
  </r>
  <r>
    <s v="ORD200222"/>
    <d v="2023-05-04T00:00:00"/>
    <s v="C43124"/>
    <x v="3"/>
    <n v="4"/>
    <n v="693.36"/>
    <s v="931 Main St"/>
    <x v="1"/>
    <x v="0"/>
    <s v="TRK17293348"/>
    <n v="8"/>
    <m/>
    <s v="Instagram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s v="Instagram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s v="Instagram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s v="Facebook"/>
    <n v="730.34"/>
  </r>
  <r>
    <s v="ORD200228"/>
    <d v="2023-05-17T00:00:00"/>
    <s v="C57867"/>
    <x v="3"/>
    <n v="4"/>
    <n v="385.92"/>
    <s v="579 Main St"/>
    <x v="2"/>
    <x v="1"/>
    <s v="TRK92055007"/>
    <n v="8"/>
    <m/>
    <s v="Instagram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s v="Facebook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s v="Email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s v="Instagram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s v="Google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s v="Instagram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s v="Google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s v="Google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s v="Email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s v="Facebook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s v="Google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s v="Email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s v="Referral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s v="Google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s v="Facebook"/>
    <n v="635.54"/>
  </r>
  <r>
    <s v="ORD200245"/>
    <d v="2025-04-20T00:00:00"/>
    <s v="C12667"/>
    <x v="5"/>
    <n v="1"/>
    <n v="223.3"/>
    <s v="306 Main St"/>
    <x v="1"/>
    <x v="2"/>
    <s v="TRK25390491"/>
    <n v="1"/>
    <m/>
    <s v="Facebook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s v="Instagram"/>
    <n v="684.22"/>
  </r>
  <r>
    <s v="ORD200247"/>
    <d v="2023-07-20T00:00:00"/>
    <s v="C14600"/>
    <x v="4"/>
    <n v="2"/>
    <n v="220.9"/>
    <s v="785 Main St"/>
    <x v="3"/>
    <x v="0"/>
    <s v="TRK84984764"/>
    <n v="4"/>
    <m/>
    <s v="Email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s v="Email"/>
    <n v="128.85"/>
  </r>
  <r>
    <s v="ORD200251"/>
    <d v="2025-05-15T00:00:00"/>
    <s v="C93175"/>
    <x v="0"/>
    <n v="4"/>
    <n v="14.69"/>
    <s v="814 Main St"/>
    <x v="4"/>
    <x v="1"/>
    <s v="TRK32995144"/>
    <n v="9"/>
    <m/>
    <s v="Email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s v="Facebook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s v="Instagram"/>
    <n v="1654.96"/>
  </r>
  <r>
    <s v="ORD200254"/>
    <d v="2023-12-26T00:00:00"/>
    <s v="C10866"/>
    <x v="0"/>
    <n v="3"/>
    <n v="263.19"/>
    <s v="770 Main St"/>
    <x v="1"/>
    <x v="3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s v="Instagram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s v="Referral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s v="Referral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s v="Instagram"/>
    <n v="1740.48"/>
  </r>
  <r>
    <s v="ORD200260"/>
    <d v="2023-05-17T00:00:00"/>
    <s v="C12245"/>
    <x v="0"/>
    <n v="2"/>
    <n v="407.79"/>
    <s v="153 Main St"/>
    <x v="0"/>
    <x v="0"/>
    <s v="TRK22000463"/>
    <n v="3"/>
    <m/>
    <s v="Google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s v="Email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s v="Referral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s v="Google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s v="Google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s v="Facebook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s v="Referral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s v="Instagram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s v="Email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s v="Facebook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s v="Instagram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s v="Email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s v="Referral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s v="Google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s v="Google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s v="Facebook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s v="Google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s v="Referral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s v="Facebook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s v="Google"/>
    <n v="690.02"/>
  </r>
  <r>
    <s v="ORD200292"/>
    <d v="2025-01-15T00:00:00"/>
    <s v="C39639"/>
    <x v="0"/>
    <n v="1"/>
    <n v="65.95"/>
    <s v="185 Main St"/>
    <x v="2"/>
    <x v="3"/>
    <s v="TRK31042152"/>
    <n v="5"/>
    <m/>
    <s v="Facebook"/>
    <n v="65.95"/>
  </r>
  <r>
    <s v="ORD200293"/>
    <d v="2023-02-16T00:00:00"/>
    <s v="C33220"/>
    <x v="2"/>
    <n v="4"/>
    <n v="463.04"/>
    <s v="564 Main St"/>
    <x v="3"/>
    <x v="2"/>
    <s v="TRK40450219"/>
    <n v="9"/>
    <m/>
    <s v="Instagram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s v="Referral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s v="Instagram"/>
    <n v="987.76"/>
  </r>
  <r>
    <s v="ORD200298"/>
    <d v="2023-12-19T00:00:00"/>
    <s v="C19402"/>
    <x v="4"/>
    <n v="4"/>
    <n v="301.17"/>
    <s v="267 Main St"/>
    <x v="1"/>
    <x v="1"/>
    <s v="TRK97825212"/>
    <n v="6"/>
    <m/>
    <s v="Email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s v="Email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s v="Instagram"/>
    <n v="1406.22"/>
  </r>
  <r>
    <s v="ORD200303"/>
    <d v="2024-12-07T00:00:00"/>
    <s v="C48531"/>
    <x v="2"/>
    <n v="1"/>
    <n v="30.54"/>
    <s v="368 Main St"/>
    <x v="0"/>
    <x v="2"/>
    <s v="TRK95462192"/>
    <n v="1"/>
    <m/>
    <s v="Google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s v="Instagram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s v="Instagram"/>
    <n v="114.14"/>
  </r>
  <r>
    <s v="ORD200307"/>
    <d v="2023-07-01T00:00:00"/>
    <s v="C92407"/>
    <x v="5"/>
    <n v="3"/>
    <n v="557.41"/>
    <s v="135 Main St"/>
    <x v="1"/>
    <x v="3"/>
    <s v="TRK11755610"/>
    <n v="4"/>
    <m/>
    <s v="Email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s v="Instagram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s v="Referral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s v="Instagram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s v="Referral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s v="Instagram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s v="Referral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s v="Instagram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s v="Instagram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s v="Facebook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s v="Google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s v="Referral"/>
    <n v="212.79"/>
  </r>
  <r>
    <s v="ORD200325"/>
    <d v="2023-06-29T00:00:00"/>
    <s v="C53545"/>
    <x v="6"/>
    <n v="3"/>
    <n v="361.39"/>
    <s v="665 Main St"/>
    <x v="2"/>
    <x v="0"/>
    <s v="TRK61123177"/>
    <n v="8"/>
    <m/>
    <s v="Referral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s v="Facebook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s v="Email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s v="Google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s v="Instagram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s v="Facebook"/>
    <n v="899"/>
  </r>
  <r>
    <s v="ORD200335"/>
    <d v="2025-03-03T00:00:00"/>
    <s v="C58721"/>
    <x v="2"/>
    <n v="3"/>
    <n v="205.86"/>
    <s v="978 Main St"/>
    <x v="3"/>
    <x v="0"/>
    <s v="TRK34801199"/>
    <n v="4"/>
    <m/>
    <s v="Email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s v="Instagram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s v="Email"/>
    <n v="1508.31"/>
  </r>
  <r>
    <s v="ORD200338"/>
    <d v="2023-11-08T00:00:00"/>
    <s v="C53627"/>
    <x v="1"/>
    <n v="5"/>
    <n v="305.49"/>
    <s v="704 Main St"/>
    <x v="0"/>
    <x v="0"/>
    <s v="TRK64112352"/>
    <n v="10"/>
    <m/>
    <s v="Referral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s v="Instagram"/>
    <n v="472.66"/>
  </r>
  <r>
    <s v="ORD200340"/>
    <d v="2023-04-23T00:00:00"/>
    <s v="C76207"/>
    <x v="5"/>
    <n v="5"/>
    <n v="521.25"/>
    <s v="826 Main St"/>
    <x v="4"/>
    <x v="1"/>
    <s v="TRK25569378"/>
    <n v="8"/>
    <m/>
    <s v="Email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s v="Email"/>
    <n v="167.15"/>
  </r>
  <r>
    <s v="ORD200342"/>
    <d v="2025-06-24T00:00:00"/>
    <s v="C69994"/>
    <x v="0"/>
    <n v="5"/>
    <n v="466.42"/>
    <s v="619 Main St"/>
    <x v="3"/>
    <x v="2"/>
    <s v="TRK95935805"/>
    <n v="5"/>
    <m/>
    <s v="Referral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s v="Instagram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s v="Referral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s v="Email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s v="Google"/>
    <n v="465.33"/>
  </r>
  <r>
    <s v="ORD200350"/>
    <d v="2023-06-03T00:00:00"/>
    <s v="C13296"/>
    <x v="3"/>
    <n v="2"/>
    <n v="54.41"/>
    <s v="495 Main St"/>
    <x v="1"/>
    <x v="0"/>
    <s v="TRK60127216"/>
    <n v="6"/>
    <m/>
    <s v="Instagram"/>
    <n v="108.82"/>
  </r>
  <r>
    <s v="ORD200351"/>
    <d v="2025-02-15T00:00:00"/>
    <s v="C94248"/>
    <x v="5"/>
    <n v="1"/>
    <n v="64.66"/>
    <s v="494 Main St"/>
    <x v="0"/>
    <x v="3"/>
    <s v="TRK89406816"/>
    <n v="4"/>
    <m/>
    <s v="Instagram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s v="Instagram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s v="Referral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s v="Instagram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s v="Instagram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s v="Instagram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s v="Facebook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s v="Instagram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s v="Email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s v="Facebook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s v="Referral"/>
    <n v="678.38"/>
  </r>
  <r>
    <s v="ORD200366"/>
    <d v="2023-02-10T00:00:00"/>
    <s v="C95213"/>
    <x v="4"/>
    <n v="3"/>
    <n v="602.24"/>
    <s v="603 Main St"/>
    <x v="0"/>
    <x v="4"/>
    <s v="TRK40630538"/>
    <n v="8"/>
    <m/>
    <s v="Referral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x v="2"/>
    <x v="1"/>
    <s v="TRK89728869"/>
    <n v="6"/>
    <m/>
    <s v="Google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s v="Email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s v="Facebook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s v="Google"/>
    <n v="1538.8"/>
  </r>
  <r>
    <s v="ORD200372"/>
    <d v="2025-02-14T00:00:00"/>
    <s v="C53645"/>
    <x v="3"/>
    <n v="3"/>
    <n v="483.53"/>
    <s v="166 Main St"/>
    <x v="4"/>
    <x v="2"/>
    <s v="TRK12123939"/>
    <n v="4"/>
    <m/>
    <s v="Referral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s v="Instagram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s v="Instagram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s v="Facebook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s v="Facebook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s v="Instagram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s v="Instagram"/>
    <n v="322.5"/>
  </r>
  <r>
    <s v="ORD200379"/>
    <d v="2024-09-21T00:00:00"/>
    <s v="C47284"/>
    <x v="1"/>
    <n v="3"/>
    <n v="297.67"/>
    <s v="500 Main St"/>
    <x v="1"/>
    <x v="0"/>
    <s v="TRK85756094"/>
    <n v="6"/>
    <m/>
    <s v="Google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s v="Instagram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s v="Facebook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s v="Facebook"/>
    <n v="958.15"/>
  </r>
  <r>
    <s v="ORD200386"/>
    <d v="2023-04-28T00:00:00"/>
    <s v="C12421"/>
    <x v="2"/>
    <n v="1"/>
    <n v="93.02"/>
    <s v="373 Main St"/>
    <x v="1"/>
    <x v="2"/>
    <s v="TRK32588504"/>
    <n v="4"/>
    <m/>
    <s v="Email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s v="Google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s v="Facebook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s v="Referral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s v="Facebook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s v="Referral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s v="Email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s v="Referral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s v="Facebook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s v="Referral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s v="Referral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s v="Referral"/>
    <n v="620.21"/>
  </r>
  <r>
    <s v="ORD200404"/>
    <d v="2023-03-09T00:00:00"/>
    <s v="C45482"/>
    <x v="0"/>
    <n v="2"/>
    <n v="99.1"/>
    <s v="440 Main St"/>
    <x v="4"/>
    <x v="3"/>
    <s v="TRK54571699"/>
    <n v="6"/>
    <m/>
    <s v="Instagram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s v="Google"/>
    <n v="420.65"/>
  </r>
  <r>
    <s v="ORD200410"/>
    <d v="2024-01-18T00:00:00"/>
    <s v="C37375"/>
    <x v="2"/>
    <n v="2"/>
    <n v="518.23"/>
    <s v="184 Main St"/>
    <x v="0"/>
    <x v="0"/>
    <s v="TRK52470162"/>
    <n v="5"/>
    <m/>
    <s v="Email"/>
    <n v="1036.46"/>
  </r>
  <r>
    <s v="ORD200411"/>
    <d v="2024-06-19T00:00:00"/>
    <s v="C66567"/>
    <x v="6"/>
    <n v="2"/>
    <n v="39.51"/>
    <s v="981 Main St"/>
    <x v="1"/>
    <x v="0"/>
    <s v="TRK21174822"/>
    <n v="5"/>
    <m/>
    <s v="Facebook"/>
    <n v="79.02"/>
  </r>
  <r>
    <s v="ORD200412"/>
    <d v="2025-04-11T00:00:00"/>
    <s v="C42451"/>
    <x v="2"/>
    <n v="5"/>
    <n v="133.01"/>
    <s v="246 Main St"/>
    <x v="2"/>
    <x v="2"/>
    <s v="TRK31313343"/>
    <n v="10"/>
    <m/>
    <s v="Facebook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s v="Email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s v="Facebook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s v="Google"/>
    <n v="277.05"/>
  </r>
  <r>
    <s v="ORD200418"/>
    <d v="2023-01-11T00:00:00"/>
    <s v="C74169"/>
    <x v="4"/>
    <n v="1"/>
    <n v="310.93"/>
    <s v="862 Main St"/>
    <x v="1"/>
    <x v="1"/>
    <s v="TRK66144809"/>
    <n v="3"/>
    <m/>
    <s v="Facebook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s v="Instagram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s v="Email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s v="Referral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s v="Google"/>
    <n v="2740.8"/>
  </r>
  <r>
    <s v="ORD200424"/>
    <d v="2023-04-12T00:00:00"/>
    <s v="C49491"/>
    <x v="3"/>
    <n v="5"/>
    <n v="22.94"/>
    <s v="339 Main St"/>
    <x v="4"/>
    <x v="4"/>
    <s v="TRK64012257"/>
    <n v="10"/>
    <m/>
    <s v="Email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s v="Email"/>
    <n v="603.76"/>
  </r>
  <r>
    <s v="ORD200426"/>
    <d v="2025-03-16T00:00:00"/>
    <s v="C40967"/>
    <x v="0"/>
    <n v="5"/>
    <n v="57.45"/>
    <s v="315 Main St"/>
    <x v="4"/>
    <x v="1"/>
    <s v="TRK24839296"/>
    <n v="10"/>
    <m/>
    <s v="Facebook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s v="Instagram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s v="Google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s v="Facebook"/>
    <n v="52.54"/>
  </r>
  <r>
    <s v="ORD200432"/>
    <d v="2023-09-04T00:00:00"/>
    <s v="C58443"/>
    <x v="2"/>
    <n v="2"/>
    <n v="424.32"/>
    <s v="662 Main St"/>
    <x v="2"/>
    <x v="2"/>
    <s v="TRK77163738"/>
    <n v="6"/>
    <m/>
    <s v="Referral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s v="Facebook"/>
    <n v="1894.92"/>
  </r>
  <r>
    <s v="ORD200434"/>
    <d v="2023-10-22T00:00:00"/>
    <s v="C73893"/>
    <x v="4"/>
    <n v="5"/>
    <n v="327.68"/>
    <s v="384 Main St"/>
    <x v="2"/>
    <x v="2"/>
    <s v="TRK85939879"/>
    <n v="6"/>
    <m/>
    <s v="Facebook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s v="Instagram"/>
    <n v="414.47"/>
  </r>
  <r>
    <s v="ORD200436"/>
    <d v="2023-02-11T00:00:00"/>
    <s v="C14568"/>
    <x v="5"/>
    <n v="4"/>
    <n v="221.33"/>
    <s v="651 Main St"/>
    <x v="1"/>
    <x v="4"/>
    <s v="TRK73545796"/>
    <n v="5"/>
    <m/>
    <s v="Google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s v="Instagram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s v="Instagram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s v="Facebook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s v="Facebook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s v="Email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s v="Instagram"/>
    <n v="1574.7"/>
  </r>
  <r>
    <s v="ORD200443"/>
    <d v="2024-05-14T00:00:00"/>
    <s v="C61668"/>
    <x v="3"/>
    <n v="2"/>
    <n v="69.64"/>
    <s v="813 Main St"/>
    <x v="4"/>
    <x v="2"/>
    <s v="TRK58970302"/>
    <n v="6"/>
    <m/>
    <s v="Facebook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s v="Referral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s v="Instagram"/>
    <n v="2547.9"/>
  </r>
  <r>
    <s v="ORD200447"/>
    <d v="2024-04-07T00:00:00"/>
    <s v="C48207"/>
    <x v="4"/>
    <n v="2"/>
    <n v="416.81"/>
    <s v="356 Main St"/>
    <x v="4"/>
    <x v="2"/>
    <s v="TRK45355655"/>
    <n v="2"/>
    <m/>
    <s v="Facebook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s v="Instagram"/>
    <n v="320"/>
  </r>
  <r>
    <s v="ORD200449"/>
    <d v="2024-08-26T00:00:00"/>
    <s v="C91518"/>
    <x v="2"/>
    <n v="3"/>
    <n v="253.05"/>
    <s v="286 Main St"/>
    <x v="1"/>
    <x v="4"/>
    <s v="TRK48688724"/>
    <n v="3"/>
    <m/>
    <s v="Instagram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s v="Instagram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s v="Email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s v="Google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s v="Facebook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s v="Email"/>
    <n v="2042.32"/>
  </r>
  <r>
    <s v="ORD200459"/>
    <d v="2024-07-24T00:00:00"/>
    <s v="C90142"/>
    <x v="6"/>
    <n v="1"/>
    <n v="334.39"/>
    <s v="433 Main St"/>
    <x v="2"/>
    <x v="2"/>
    <s v="TRK39717191"/>
    <n v="2"/>
    <m/>
    <s v="Instagram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s v="Referral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s v="Google"/>
    <n v="401.82"/>
  </r>
  <r>
    <s v="ORD200462"/>
    <d v="2025-03-31T00:00:00"/>
    <s v="C22991"/>
    <x v="1"/>
    <n v="1"/>
    <n v="252.68"/>
    <s v="731 Main St"/>
    <x v="1"/>
    <x v="1"/>
    <s v="TRK32796086"/>
    <n v="1"/>
    <m/>
    <s v="Referral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s v="Instagram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s v="Google"/>
    <n v="1737.68"/>
  </r>
  <r>
    <s v="ORD200465"/>
    <d v="2024-02-26T00:00:00"/>
    <s v="C58773"/>
    <x v="4"/>
    <n v="5"/>
    <n v="513.49"/>
    <s v="391 Main St"/>
    <x v="3"/>
    <x v="1"/>
    <s v="TRK65438300"/>
    <n v="8"/>
    <m/>
    <s v="Google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s v="Referral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s v="Email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s v="Email"/>
    <n v="418.36"/>
  </r>
  <r>
    <s v="ORD200469"/>
    <d v="2023-11-26T00:00:00"/>
    <s v="C13877"/>
    <x v="3"/>
    <n v="5"/>
    <n v="676.98"/>
    <s v="893 Main St"/>
    <x v="4"/>
    <x v="1"/>
    <s v="TRK17254691"/>
    <n v="5"/>
    <m/>
    <s v="Facebook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s v="Email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s v="Referral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s v="Referral"/>
    <n v="1524.36"/>
  </r>
  <r>
    <s v="ORD200473"/>
    <d v="2025-02-25T00:00:00"/>
    <s v="C28552"/>
    <x v="3"/>
    <n v="2"/>
    <n v="14.93"/>
    <s v="449 Main St"/>
    <x v="1"/>
    <x v="0"/>
    <s v="TRK71597160"/>
    <n v="4"/>
    <m/>
    <s v="Facebook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s v="Referral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s v="Facebook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s v="Referral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s v="Google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s v="Referral"/>
    <n v="188.31"/>
  </r>
  <r>
    <s v="ORD200479"/>
    <d v="2023-02-18T00:00:00"/>
    <s v="C87011"/>
    <x v="0"/>
    <n v="4"/>
    <n v="25.29"/>
    <s v="943 Main St"/>
    <x v="2"/>
    <x v="4"/>
    <s v="TRK21429162"/>
    <n v="8"/>
    <m/>
    <s v="Google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s v="Referral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s v="Referral"/>
    <n v="1939.4"/>
  </r>
  <r>
    <s v="ORD200482"/>
    <d v="2025-03-02T00:00:00"/>
    <s v="C35852"/>
    <x v="0"/>
    <n v="3"/>
    <n v="381.41"/>
    <s v="989 Main St"/>
    <x v="1"/>
    <x v="4"/>
    <s v="TRK22302049"/>
    <n v="6"/>
    <m/>
    <s v="Instagram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s v="Google"/>
    <n v="1739.6"/>
  </r>
  <r>
    <s v="ORD200484"/>
    <d v="2024-05-29T00:00:00"/>
    <s v="C29092"/>
    <x v="3"/>
    <n v="4"/>
    <n v="15.01"/>
    <s v="767 Main St"/>
    <x v="4"/>
    <x v="1"/>
    <s v="TRK90455340"/>
    <n v="6"/>
    <m/>
    <s v="Facebook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s v="Referral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s v="Google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s v="Email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s v="Email"/>
    <n v="448.02"/>
  </r>
  <r>
    <s v="ORD200490"/>
    <d v="2024-07-22T00:00:00"/>
    <s v="C50097"/>
    <x v="3"/>
    <n v="5"/>
    <n v="467.81"/>
    <s v="539 Main St"/>
    <x v="1"/>
    <x v="1"/>
    <s v="TRK62785150"/>
    <n v="10"/>
    <m/>
    <s v="Facebook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s v="Facebook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s v="Instagram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s v="Facebook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s v="Referral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s v="Facebook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s v="Google"/>
    <n v="603.63"/>
  </r>
  <r>
    <s v="ORD200497"/>
    <d v="2024-10-24T00:00:00"/>
    <s v="C93948"/>
    <x v="4"/>
    <n v="3"/>
    <n v="112.29"/>
    <s v="454 Main St"/>
    <x v="3"/>
    <x v="0"/>
    <s v="TRK77358113"/>
    <n v="6"/>
    <m/>
    <s v="Google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s v="Instagram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s v="Facebook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s v="Referral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s v="Email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s v="Facebook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s v="Instagram"/>
    <n v="929"/>
  </r>
  <r>
    <s v="ORD200505"/>
    <d v="2023-06-11T00:00:00"/>
    <s v="C36014"/>
    <x v="4"/>
    <n v="2"/>
    <n v="434.97"/>
    <s v="558 Main St"/>
    <x v="1"/>
    <x v="0"/>
    <s v="TRK97246526"/>
    <n v="7"/>
    <m/>
    <s v="Email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s v="Instagram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s v="Email"/>
    <n v="171.59"/>
  </r>
  <r>
    <s v="ORD200508"/>
    <d v="2025-05-14T00:00:00"/>
    <s v="C39550"/>
    <x v="1"/>
    <n v="1"/>
    <n v="558.27"/>
    <s v="976 Main St"/>
    <x v="1"/>
    <x v="3"/>
    <s v="TRK24120267"/>
    <n v="1"/>
    <m/>
    <s v="Referral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s v="Google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s v="Email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s v="Email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s v="Instagram"/>
    <n v="1704.06"/>
  </r>
  <r>
    <s v="ORD200513"/>
    <d v="2025-02-09T00:00:00"/>
    <s v="C64128"/>
    <x v="2"/>
    <n v="3"/>
    <n v="94.88"/>
    <s v="533 Main St"/>
    <x v="3"/>
    <x v="0"/>
    <s v="TRK37053575"/>
    <n v="8"/>
    <m/>
    <s v="Referral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s v="Facebook"/>
    <n v="1660.56"/>
  </r>
  <r>
    <s v="ORD200516"/>
    <d v="2024-04-07T00:00:00"/>
    <s v="C47022"/>
    <x v="0"/>
    <n v="3"/>
    <n v="166.99"/>
    <s v="208 Main St"/>
    <x v="4"/>
    <x v="2"/>
    <s v="TRK28855040"/>
    <n v="8"/>
    <m/>
    <s v="Facebook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s v="Google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s v="Referral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s v="Email"/>
    <n v="1857.16"/>
  </r>
  <r>
    <s v="ORD200520"/>
    <d v="2023-03-10T00:00:00"/>
    <s v="C66332"/>
    <x v="0"/>
    <n v="3"/>
    <n v="635.98"/>
    <s v="959 Main St"/>
    <x v="4"/>
    <x v="2"/>
    <s v="TRK27063398"/>
    <n v="5"/>
    <m/>
    <s v="Referral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s v="Google"/>
    <n v="2631.16"/>
  </r>
  <r>
    <s v="ORD200524"/>
    <d v="2023-10-25T00:00:00"/>
    <s v="C44778"/>
    <x v="1"/>
    <n v="1"/>
    <n v="153"/>
    <s v="103 Main St"/>
    <x v="2"/>
    <x v="2"/>
    <s v="TRK92617366"/>
    <n v="4"/>
    <m/>
    <s v="Referral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s v="Email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s v="Google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s v="Referral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s v="Referral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s v="Google"/>
    <n v="1350.2"/>
  </r>
  <r>
    <s v="ORD200530"/>
    <d v="2024-07-18T00:00:00"/>
    <s v="C98450"/>
    <x v="3"/>
    <n v="4"/>
    <n v="89.41"/>
    <s v="613 Main St"/>
    <x v="1"/>
    <x v="4"/>
    <s v="TRK14809530"/>
    <n v="9"/>
    <m/>
    <s v="Google"/>
    <n v="357.64"/>
  </r>
  <r>
    <s v="ORD200531"/>
    <d v="2024-07-02T00:00:00"/>
    <s v="C64502"/>
    <x v="6"/>
    <n v="5"/>
    <n v="320.01"/>
    <s v="722 Main St"/>
    <x v="3"/>
    <x v="3"/>
    <s v="TRK14914388"/>
    <n v="6"/>
    <m/>
    <s v="Referral"/>
    <n v="1600.05"/>
  </r>
  <r>
    <s v="ORD200532"/>
    <d v="2025-05-03T00:00:00"/>
    <s v="C47365"/>
    <x v="5"/>
    <n v="2"/>
    <n v="41"/>
    <s v="369 Main St"/>
    <x v="1"/>
    <x v="3"/>
    <s v="TRK42207882"/>
    <n v="7"/>
    <m/>
    <s v="Email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s v="Facebook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s v="Email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s v="Email"/>
    <n v="204.36"/>
  </r>
  <r>
    <s v="ORD200536"/>
    <d v="2024-06-09T00:00:00"/>
    <s v="C18724"/>
    <x v="3"/>
    <n v="1"/>
    <n v="616.1"/>
    <s v="124 Main St"/>
    <x v="4"/>
    <x v="2"/>
    <s v="TRK52508861"/>
    <n v="6"/>
    <m/>
    <s v="Email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s v="Facebook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s v="Email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s v="Google"/>
    <n v="1595.16"/>
  </r>
  <r>
    <s v="ORD200540"/>
    <d v="2024-01-29T00:00:00"/>
    <s v="C87281"/>
    <x v="5"/>
    <n v="5"/>
    <n v="648.65"/>
    <s v="852 Main St"/>
    <x v="1"/>
    <x v="4"/>
    <s v="TRK81765057"/>
    <n v="7"/>
    <m/>
    <s v="Referral"/>
    <n v="3243.25"/>
  </r>
  <r>
    <s v="ORD200541"/>
    <d v="2023-08-07T00:00:00"/>
    <s v="C69009"/>
    <x v="4"/>
    <n v="5"/>
    <n v="456.06"/>
    <s v="879 Main St"/>
    <x v="4"/>
    <x v="4"/>
    <s v="TRK61295842"/>
    <n v="10"/>
    <m/>
    <s v="Instagram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s v="Email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s v="Facebook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s v="Instagram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s v="Instagram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s v="Facebook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s v="Instagram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s v="Google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s v="Email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s v="Facebook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s v="Referral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s v="Instagram"/>
    <n v="985.8"/>
  </r>
  <r>
    <s v="ORD200555"/>
    <d v="2023-01-07T00:00:00"/>
    <s v="C88933"/>
    <x v="2"/>
    <n v="1"/>
    <n v="92.04"/>
    <s v="333 Main St"/>
    <x v="4"/>
    <x v="0"/>
    <s v="TRK89306964"/>
    <n v="2"/>
    <m/>
    <s v="Facebook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s v="Facebook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s v="Facebook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s v="Instagram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s v="Email"/>
    <n v="472.2"/>
  </r>
  <r>
    <s v="ORD200560"/>
    <d v="2023-01-31T00:00:00"/>
    <s v="C33634"/>
    <x v="0"/>
    <n v="4"/>
    <n v="588.85"/>
    <s v="524 Main St"/>
    <x v="3"/>
    <x v="4"/>
    <s v="TRK93168008"/>
    <n v="7"/>
    <m/>
    <s v="Email"/>
    <n v="2355.4"/>
  </r>
  <r>
    <s v="ORD200561"/>
    <d v="2023-01-31T00:00:00"/>
    <s v="C96822"/>
    <x v="4"/>
    <n v="2"/>
    <n v="494.78"/>
    <s v="198 Main St"/>
    <x v="1"/>
    <x v="0"/>
    <s v="TRK89180077"/>
    <n v="2"/>
    <m/>
    <s v="Google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s v="Email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s v="Referral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s v="Google"/>
    <n v="1821.4"/>
  </r>
  <r>
    <s v="ORD200565"/>
    <d v="2023-05-14T00:00:00"/>
    <s v="C62042"/>
    <x v="2"/>
    <n v="5"/>
    <n v="307.98"/>
    <s v="214 Main St"/>
    <x v="1"/>
    <x v="4"/>
    <s v="TRK42605492"/>
    <n v="10"/>
    <m/>
    <s v="Facebook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s v="Email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s v="Google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s v="Instagram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s v="Instagram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s v="Email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s v="Google"/>
    <n v="2240.75"/>
  </r>
  <r>
    <s v="ORD200576"/>
    <d v="2024-05-29T00:00:00"/>
    <s v="C14457"/>
    <x v="5"/>
    <n v="5"/>
    <n v="79.08"/>
    <s v="747 Main St"/>
    <x v="4"/>
    <x v="4"/>
    <s v="TRK42517811"/>
    <n v="8"/>
    <m/>
    <s v="Facebook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s v="Instagram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s v="Facebook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s v="Instagram"/>
    <n v="511.98"/>
  </r>
  <r>
    <s v="ORD200581"/>
    <d v="2024-11-11T00:00:00"/>
    <s v="C44674"/>
    <x v="5"/>
    <n v="1"/>
    <n v="627.34"/>
    <s v="942 Main St"/>
    <x v="1"/>
    <x v="3"/>
    <s v="TRK87158684"/>
    <n v="1"/>
    <m/>
    <s v="Referral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s v="Google"/>
    <n v="1422.42"/>
  </r>
  <r>
    <s v="ORD200583"/>
    <d v="2025-06-15T00:00:00"/>
    <s v="C27072"/>
    <x v="3"/>
    <n v="3"/>
    <n v="154.37"/>
    <s v="996 Main St"/>
    <x v="3"/>
    <x v="3"/>
    <s v="TRK29750379"/>
    <n v="4"/>
    <m/>
    <s v="Instagram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s v="Google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s v="Referral"/>
    <n v="1001.6"/>
  </r>
  <r>
    <s v="ORD200590"/>
    <d v="2023-09-10T00:00:00"/>
    <s v="C55757"/>
    <x v="4"/>
    <n v="2"/>
    <n v="461.13"/>
    <s v="175 Main St"/>
    <x v="3"/>
    <x v="2"/>
    <s v="TRK27356242"/>
    <n v="4"/>
    <m/>
    <s v="Email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s v="Referral"/>
    <n v="605.28"/>
  </r>
  <r>
    <s v="ORD200592"/>
    <d v="2024-04-23T00:00:00"/>
    <s v="C42306"/>
    <x v="1"/>
    <n v="3"/>
    <n v="204.27"/>
    <s v="938 Main St"/>
    <x v="1"/>
    <x v="2"/>
    <s v="TRK15499648"/>
    <n v="4"/>
    <m/>
    <s v="Google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s v="Facebook"/>
    <n v="489.8"/>
  </r>
  <r>
    <s v="ORD200594"/>
    <d v="2024-02-21T00:00:00"/>
    <s v="C40140"/>
    <x v="1"/>
    <n v="5"/>
    <n v="72.64"/>
    <s v="598 Main St"/>
    <x v="2"/>
    <x v="1"/>
    <s v="TRK12671989"/>
    <n v="7"/>
    <m/>
    <s v="Email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s v="Email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s v="Facebook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s v="Email"/>
    <n v="423.64"/>
  </r>
  <r>
    <s v="ORD200598"/>
    <d v="2024-04-26T00:00:00"/>
    <s v="C60329"/>
    <x v="6"/>
    <n v="5"/>
    <n v="495.35"/>
    <s v="826 Main St"/>
    <x v="2"/>
    <x v="4"/>
    <s v="TRK59069987"/>
    <n v="5"/>
    <m/>
    <s v="Facebook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s v="Facebook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s v="Facebook"/>
    <n v="72.31"/>
  </r>
  <r>
    <s v="ORD200601"/>
    <d v="2023-10-02T00:00:00"/>
    <s v="C12479"/>
    <x v="0"/>
    <n v="5"/>
    <n v="24.82"/>
    <s v="529 Main St"/>
    <x v="2"/>
    <x v="0"/>
    <s v="TRK73935314"/>
    <n v="10"/>
    <m/>
    <s v="Referral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s v="Instagram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s v="Facebook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s v="Referral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s v="Instagram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s v="Referral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s v="Facebook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s v="Referral"/>
    <n v="305.17"/>
  </r>
  <r>
    <s v="ORD200612"/>
    <d v="2023-06-02T00:00:00"/>
    <s v="C51811"/>
    <x v="3"/>
    <n v="3"/>
    <n v="445.12"/>
    <s v="339 Main St"/>
    <x v="3"/>
    <x v="1"/>
    <s v="TRK82377939"/>
    <n v="8"/>
    <m/>
    <s v="Google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s v="Email"/>
    <n v="460.72"/>
  </r>
  <r>
    <s v="ORD200614"/>
    <d v="2024-03-08T00:00:00"/>
    <s v="C77363"/>
    <x v="1"/>
    <n v="1"/>
    <n v="96.81"/>
    <s v="807 Main St"/>
    <x v="3"/>
    <x v="1"/>
    <s v="TRK12439827"/>
    <n v="3"/>
    <m/>
    <s v="Referral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s v="Facebook"/>
    <n v="1804.8"/>
  </r>
  <r>
    <s v="ORD200617"/>
    <d v="2024-02-08T00:00:00"/>
    <s v="C57093"/>
    <x v="2"/>
    <n v="3"/>
    <n v="184.47"/>
    <s v="834 Main St"/>
    <x v="1"/>
    <x v="1"/>
    <s v="TRK75469057"/>
    <n v="4"/>
    <m/>
    <s v="Referral"/>
    <n v="553.41"/>
  </r>
  <r>
    <s v="ORD200618"/>
    <d v="2024-09-03T00:00:00"/>
    <s v="C50565"/>
    <x v="2"/>
    <n v="1"/>
    <n v="411.34"/>
    <s v="399 Main St"/>
    <x v="0"/>
    <x v="2"/>
    <s v="TRK97981418"/>
    <n v="5"/>
    <m/>
    <s v="Instagram"/>
    <n v="411.34"/>
  </r>
  <r>
    <s v="ORD200619"/>
    <d v="2024-07-16T00:00:00"/>
    <s v="C38845"/>
    <x v="5"/>
    <n v="1"/>
    <n v="532.89"/>
    <s v="764 Main St"/>
    <x v="3"/>
    <x v="4"/>
    <s v="TRK47637374"/>
    <n v="2"/>
    <m/>
    <s v="Referral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s v="Referral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s v="Facebook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s v="Instagram"/>
    <n v="1188"/>
  </r>
  <r>
    <s v="ORD200624"/>
    <d v="2024-01-16T00:00:00"/>
    <s v="C25967"/>
    <x v="2"/>
    <n v="5"/>
    <n v="341.96"/>
    <s v="747 Main St"/>
    <x v="0"/>
    <x v="3"/>
    <s v="TRK88559278"/>
    <n v="6"/>
    <m/>
    <s v="Email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s v="Email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s v="Referral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s v="Email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s v="Referral"/>
    <n v="2793.15"/>
  </r>
  <r>
    <s v="ORD200629"/>
    <d v="2023-07-07T00:00:00"/>
    <s v="C50137"/>
    <x v="1"/>
    <n v="3"/>
    <n v="19.73"/>
    <s v="840 Main St"/>
    <x v="1"/>
    <x v="4"/>
    <s v="TRK91836131"/>
    <n v="3"/>
    <m/>
    <s v="Referral"/>
    <n v="59.19"/>
  </r>
  <r>
    <s v="ORD200630"/>
    <d v="2023-06-23T00:00:00"/>
    <s v="C51481"/>
    <x v="0"/>
    <n v="5"/>
    <n v="248.84"/>
    <s v="140 Main St"/>
    <x v="0"/>
    <x v="1"/>
    <s v="TRK33437701"/>
    <n v="10"/>
    <m/>
    <s v="Instagram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s v="Facebook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s v="Instagram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s v="Referral"/>
    <n v="518.64"/>
  </r>
  <r>
    <s v="ORD200635"/>
    <d v="2023-12-13T00:00:00"/>
    <s v="C12818"/>
    <x v="3"/>
    <n v="3"/>
    <n v="63.68"/>
    <s v="434 Main St"/>
    <x v="4"/>
    <x v="2"/>
    <s v="TRK40879983"/>
    <n v="6"/>
    <m/>
    <s v="Facebook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s v="Referral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s v="Email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s v="Referral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s v="Google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s v="Email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s v="Email"/>
    <n v="744.46"/>
  </r>
  <r>
    <s v="ORD200651"/>
    <d v="2024-11-12T00:00:00"/>
    <s v="C81192"/>
    <x v="3"/>
    <n v="3"/>
    <n v="646.34"/>
    <s v="429 Main St"/>
    <x v="0"/>
    <x v="4"/>
    <s v="TRK76931118"/>
    <n v="5"/>
    <m/>
    <s v="Google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s v="Instagram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s v="Google"/>
    <n v="2070.9"/>
  </r>
  <r>
    <s v="ORD200654"/>
    <d v="2023-06-12T00:00:00"/>
    <s v="C62661"/>
    <x v="2"/>
    <n v="3"/>
    <n v="382.37"/>
    <s v="863 Main St"/>
    <x v="0"/>
    <x v="2"/>
    <s v="TRK25748100"/>
    <n v="8"/>
    <m/>
    <s v="Instagram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s v="Email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s v="Facebook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s v="Instagram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s v="Google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s v="Google"/>
    <n v="1274.67"/>
  </r>
  <r>
    <s v="ORD200662"/>
    <d v="2023-01-28T00:00:00"/>
    <s v="C98332"/>
    <x v="5"/>
    <n v="3"/>
    <n v="438.89"/>
    <s v="985 Main St"/>
    <x v="4"/>
    <x v="2"/>
    <s v="TRK85744797"/>
    <n v="3"/>
    <m/>
    <s v="Facebook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s v="Facebook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s v="Google"/>
    <n v="925.04"/>
  </r>
  <r>
    <s v="ORD200666"/>
    <d v="2024-08-31T00:00:00"/>
    <s v="C35711"/>
    <x v="0"/>
    <n v="4"/>
    <n v="327.12"/>
    <s v="788 Main St"/>
    <x v="2"/>
    <x v="1"/>
    <s v="TRK45281495"/>
    <n v="4"/>
    <m/>
    <s v="Email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s v="Email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s v="Facebook"/>
    <n v="507.34"/>
  </r>
  <r>
    <s v="ORD200669"/>
    <d v="2023-02-05T00:00:00"/>
    <s v="C60547"/>
    <x v="6"/>
    <n v="1"/>
    <n v="257"/>
    <s v="812 Main St"/>
    <x v="0"/>
    <x v="1"/>
    <s v="TRK65694249"/>
    <n v="5"/>
    <m/>
    <s v="Referral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s v="Google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s v="Instagram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s v="Email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s v="Facebook"/>
    <n v="1435"/>
  </r>
  <r>
    <s v="ORD200675"/>
    <d v="2024-08-06T00:00:00"/>
    <s v="C97749"/>
    <x v="6"/>
    <n v="3"/>
    <n v="342.02"/>
    <s v="906 Main St"/>
    <x v="0"/>
    <x v="4"/>
    <s v="TRK90233116"/>
    <n v="5"/>
    <m/>
    <s v="Email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s v="Instagram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s v="Instagram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s v="Facebook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s v="Instagram"/>
    <n v="1081.98"/>
  </r>
  <r>
    <s v="ORD200680"/>
    <d v="2023-08-27T00:00:00"/>
    <s v="C16702"/>
    <x v="0"/>
    <n v="3"/>
    <n v="463.39"/>
    <s v="694 Main St"/>
    <x v="2"/>
    <x v="2"/>
    <s v="TRK16953491"/>
    <n v="3"/>
    <m/>
    <s v="Facebook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s v="Email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s v="Google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s v="Email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s v="Email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s v="Instagram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s v="Facebook"/>
    <n v="2372.88"/>
  </r>
  <r>
    <s v="ORD200689"/>
    <d v="2023-08-29T00:00:00"/>
    <s v="C13186"/>
    <x v="2"/>
    <n v="2"/>
    <n v="444.84"/>
    <s v="787 Main St"/>
    <x v="1"/>
    <x v="0"/>
    <s v="TRK56967415"/>
    <n v="7"/>
    <m/>
    <s v="Facebook"/>
    <n v="889.68"/>
  </r>
  <r>
    <s v="ORD200690"/>
    <d v="2024-07-12T00:00:00"/>
    <s v="C29318"/>
    <x v="0"/>
    <n v="1"/>
    <n v="24.48"/>
    <s v="128 Main St"/>
    <x v="3"/>
    <x v="2"/>
    <s v="TRK88666721"/>
    <n v="1"/>
    <m/>
    <s v="Instagram"/>
    <n v="24.48"/>
  </r>
  <r>
    <s v="ORD200691"/>
    <d v="2024-11-24T00:00:00"/>
    <s v="C36137"/>
    <x v="5"/>
    <n v="3"/>
    <n v="239.08"/>
    <s v="396 Main St"/>
    <x v="4"/>
    <x v="0"/>
    <s v="TRK57376416"/>
    <n v="8"/>
    <m/>
    <s v="Google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s v="Instagram"/>
    <n v="984.2"/>
  </r>
  <r>
    <s v="ORD200693"/>
    <d v="2025-03-12T00:00:00"/>
    <s v="C62070"/>
    <x v="0"/>
    <n v="1"/>
    <n v="176.58"/>
    <s v="674 Main St"/>
    <x v="0"/>
    <x v="2"/>
    <s v="TRK10267127"/>
    <n v="4"/>
    <m/>
    <s v="Referral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s v="Email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s v="Email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s v="Instagram"/>
    <n v="776.44"/>
  </r>
  <r>
    <s v="ORD200699"/>
    <d v="2023-11-13T00:00:00"/>
    <s v="C36813"/>
    <x v="5"/>
    <n v="3"/>
    <n v="614.15"/>
    <s v="897 Main St"/>
    <x v="3"/>
    <x v="1"/>
    <s v="TRK84088900"/>
    <n v="3"/>
    <m/>
    <s v="Facebook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s v="Instagram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s v="Email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s v="Email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s v="Google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s v="Instagram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s v="Facebook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s v="Facebook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s v="Instagram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s v="Google"/>
    <n v="386.03"/>
  </r>
  <r>
    <s v="ORD200710"/>
    <d v="2024-07-22T00:00:00"/>
    <s v="C48790"/>
    <x v="5"/>
    <n v="5"/>
    <n v="21.54"/>
    <s v="113 Main St"/>
    <x v="3"/>
    <x v="2"/>
    <s v="TRK19086608"/>
    <n v="10"/>
    <m/>
    <s v="Google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s v="Facebook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s v="Facebook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s v="Email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s v="Google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s v="Instagram"/>
    <n v="644.75"/>
  </r>
  <r>
    <s v="ORD200721"/>
    <d v="2024-03-18T00:00:00"/>
    <s v="C46557"/>
    <x v="6"/>
    <n v="2"/>
    <n v="118.59"/>
    <s v="890 Main St"/>
    <x v="2"/>
    <x v="3"/>
    <s v="TRK56110689"/>
    <n v="2"/>
    <m/>
    <s v="Email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s v="Instagram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s v="Referral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s v="Referral"/>
    <n v="410.91"/>
  </r>
  <r>
    <s v="ORD200725"/>
    <d v="2023-03-12T00:00:00"/>
    <s v="C95269"/>
    <x v="3"/>
    <n v="2"/>
    <n v="194.85"/>
    <s v="372 Main St"/>
    <x v="3"/>
    <x v="2"/>
    <s v="TRK45670926"/>
    <n v="5"/>
    <m/>
    <s v="Referral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s v="Facebook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s v="Instagram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s v="Email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s v="Google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s v="Email"/>
    <n v="474.6"/>
  </r>
  <r>
    <s v="ORD200731"/>
    <d v="2024-06-07T00:00:00"/>
    <s v="C71310"/>
    <x v="4"/>
    <n v="5"/>
    <n v="584.46"/>
    <s v="308 Main St"/>
    <x v="2"/>
    <x v="2"/>
    <s v="TRK48292586"/>
    <n v="8"/>
    <m/>
    <s v="Email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s v="Google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s v="Email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s v="Facebook"/>
    <n v="898.44"/>
  </r>
  <r>
    <s v="ORD200735"/>
    <d v="2024-06-28T00:00:00"/>
    <s v="C94508"/>
    <x v="0"/>
    <n v="4"/>
    <n v="44.07"/>
    <s v="359 Main St"/>
    <x v="0"/>
    <x v="4"/>
    <s v="TRK13443264"/>
    <n v="6"/>
    <m/>
    <s v="Email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s v="Google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s v="Instagram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s v="Email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s v="Facebook"/>
    <n v="1546.92"/>
  </r>
  <r>
    <s v="ORD200740"/>
    <d v="2024-07-20T00:00:00"/>
    <s v="C10892"/>
    <x v="6"/>
    <n v="2"/>
    <n v="377.47"/>
    <s v="433 Main St"/>
    <x v="4"/>
    <x v="4"/>
    <s v="TRK76154554"/>
    <n v="7"/>
    <m/>
    <s v="Google"/>
    <n v="754.94"/>
  </r>
  <r>
    <s v="ORD200741"/>
    <d v="2025-01-23T00:00:00"/>
    <s v="C99683"/>
    <x v="0"/>
    <n v="5"/>
    <n v="332.64"/>
    <s v="945 Main St"/>
    <x v="3"/>
    <x v="3"/>
    <s v="TRK87305883"/>
    <n v="10"/>
    <m/>
    <s v="Referral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s v="Google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s v="Instagram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s v="Google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s v="Email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s v="Referral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s v="Instagram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s v="Referral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s v="Instagram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s v="Email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s v="Facebook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s v="Google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s v="Instagram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s v="Email"/>
    <n v="904.1"/>
  </r>
  <r>
    <s v="ORD200755"/>
    <d v="2023-06-13T00:00:00"/>
    <s v="C54160"/>
    <x v="6"/>
    <n v="3"/>
    <n v="336.71"/>
    <s v="658 Main St"/>
    <x v="2"/>
    <x v="4"/>
    <s v="TRK60515972"/>
    <n v="4"/>
    <m/>
    <s v="Email"/>
    <n v="1010.13"/>
  </r>
  <r>
    <s v="ORD200756"/>
    <d v="2024-06-27T00:00:00"/>
    <s v="C14080"/>
    <x v="1"/>
    <n v="1"/>
    <n v="283.69"/>
    <s v="202 Main St"/>
    <x v="3"/>
    <x v="0"/>
    <s v="TRK93163682"/>
    <n v="6"/>
    <m/>
    <s v="Google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s v="Google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s v="Facebook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s v="Facebook"/>
    <n v="924.03"/>
  </r>
  <r>
    <s v="ORD200760"/>
    <d v="2025-02-18T00:00:00"/>
    <s v="C96636"/>
    <x v="6"/>
    <n v="1"/>
    <n v="39.56"/>
    <s v="283 Main St"/>
    <x v="0"/>
    <x v="1"/>
    <s v="TRK73324346"/>
    <n v="5"/>
    <m/>
    <s v="Google"/>
    <n v="39.56"/>
  </r>
  <r>
    <s v="ORD200761"/>
    <d v="2023-06-02T00:00:00"/>
    <s v="C37235"/>
    <x v="6"/>
    <n v="4"/>
    <n v="37.76"/>
    <s v="217 Main St"/>
    <x v="0"/>
    <x v="3"/>
    <s v="TRK67789367"/>
    <n v="7"/>
    <m/>
    <s v="Google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s v="Email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s v="Email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s v="Google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s v="Instagram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s v="Email"/>
    <n v="3267.3"/>
  </r>
  <r>
    <s v="ORD200769"/>
    <d v="2023-07-06T00:00:00"/>
    <s v="C13366"/>
    <x v="4"/>
    <n v="4"/>
    <n v="678.55"/>
    <s v="568 Main St"/>
    <x v="4"/>
    <x v="3"/>
    <s v="TRK98691410"/>
    <n v="5"/>
    <m/>
    <s v="Email"/>
    <n v="2714.2"/>
  </r>
  <r>
    <s v="ORD200770"/>
    <d v="2024-02-11T00:00:00"/>
    <s v="C72166"/>
    <x v="6"/>
    <n v="1"/>
    <n v="314.38"/>
    <s v="227 Main St"/>
    <x v="1"/>
    <x v="2"/>
    <s v="TRK67733444"/>
    <n v="6"/>
    <m/>
    <s v="Google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s v="Instagram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s v="Facebook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s v="Instagram"/>
    <n v="61.62"/>
  </r>
  <r>
    <s v="ORD200775"/>
    <d v="2023-03-04T00:00:00"/>
    <s v="C73941"/>
    <x v="1"/>
    <n v="2"/>
    <n v="625.22"/>
    <s v="569 Main St"/>
    <x v="1"/>
    <x v="1"/>
    <s v="TRK22051900"/>
    <n v="5"/>
    <m/>
    <s v="Google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s v="Facebook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s v="Google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s v="Email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s v="Google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s v="Referral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s v="Facebook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s v="Referral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s v="Instagram"/>
    <n v="176.1"/>
  </r>
  <r>
    <s v="ORD200786"/>
    <d v="2023-08-23T00:00:00"/>
    <s v="C39130"/>
    <x v="3"/>
    <n v="5"/>
    <n v="45.31"/>
    <s v="774 Main St"/>
    <x v="1"/>
    <x v="1"/>
    <s v="TRK99583414"/>
    <n v="8"/>
    <m/>
    <s v="Referral"/>
    <n v="226.55"/>
  </r>
  <r>
    <s v="ORD200787"/>
    <d v="2024-03-17T00:00:00"/>
    <s v="C18167"/>
    <x v="6"/>
    <n v="4"/>
    <n v="221.96"/>
    <s v="193 Main St"/>
    <x v="4"/>
    <x v="3"/>
    <s v="TRK36841089"/>
    <n v="7"/>
    <m/>
    <s v="Google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s v="Email"/>
    <n v="3456.4"/>
  </r>
  <r>
    <s v="ORD200790"/>
    <d v="2024-09-14T00:00:00"/>
    <s v="C38928"/>
    <x v="5"/>
    <n v="4"/>
    <n v="417.89"/>
    <s v="302 Main St"/>
    <x v="3"/>
    <x v="4"/>
    <s v="TRK96636009"/>
    <n v="4"/>
    <m/>
    <s v="Google"/>
    <n v="1671.56"/>
  </r>
  <r>
    <s v="ORD200791"/>
    <d v="2024-01-13T00:00:00"/>
    <s v="C49710"/>
    <x v="3"/>
    <n v="4"/>
    <n v="409.28"/>
    <s v="956 Main St"/>
    <x v="4"/>
    <x v="4"/>
    <s v="TRK92591237"/>
    <n v="8"/>
    <m/>
    <s v="Email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s v="Facebook"/>
    <n v="712.7"/>
  </r>
  <r>
    <s v="ORD200793"/>
    <d v="2024-04-15T00:00:00"/>
    <s v="C91255"/>
    <x v="3"/>
    <n v="5"/>
    <n v="170.22"/>
    <s v="769 Main St"/>
    <x v="0"/>
    <x v="3"/>
    <s v="TRK69599961"/>
    <n v="8"/>
    <m/>
    <s v="Referral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s v="Instagram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s v="Facebook"/>
    <n v="1738.65"/>
  </r>
  <r>
    <s v="ORD200797"/>
    <d v="2023-02-27T00:00:00"/>
    <s v="C36825"/>
    <x v="5"/>
    <n v="2"/>
    <n v="438.76"/>
    <s v="426 Main St"/>
    <x v="0"/>
    <x v="2"/>
    <s v="TRK72557318"/>
    <n v="2"/>
    <m/>
    <s v="Facebook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s v="Email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s v="Email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s v="Facebook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s v="Facebook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s v="Email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s v="Referral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s v="Email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s v="Instagram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s v="Google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s v="Referral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s v="Email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s v="Email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s v="Instagram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s v="Instagram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s v="Referral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s v="Email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s v="Facebook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s v="Google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s v="Instagram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s v="Facebook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s v="Instagram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s v="Email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s v="Instagram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s v="Email"/>
    <n v="762.56"/>
  </r>
  <r>
    <s v="ORD200831"/>
    <d v="2023-12-18T00:00:00"/>
    <s v="C20124"/>
    <x v="4"/>
    <n v="2"/>
    <n v="88.73"/>
    <s v="140 Main St"/>
    <x v="1"/>
    <x v="4"/>
    <s v="TRK61346824"/>
    <n v="5"/>
    <m/>
    <s v="Google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s v="Referral"/>
    <n v="391.45"/>
  </r>
  <r>
    <s v="ORD200834"/>
    <d v="2024-04-11T00:00:00"/>
    <s v="C98483"/>
    <x v="4"/>
    <n v="5"/>
    <n v="22.14"/>
    <s v="456 Main St"/>
    <x v="4"/>
    <x v="2"/>
    <s v="TRK22084320"/>
    <n v="10"/>
    <m/>
    <s v="Instagram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s v="Google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s v="Google"/>
    <n v="178.44"/>
  </r>
  <r>
    <s v="ORD200837"/>
    <d v="2025-06-14T00:00:00"/>
    <s v="C88029"/>
    <x v="3"/>
    <n v="5"/>
    <n v="655.55"/>
    <s v="282 Main St"/>
    <x v="1"/>
    <x v="3"/>
    <s v="TRK59701278"/>
    <n v="5"/>
    <m/>
    <s v="Email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s v="Facebook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s v="Google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s v="Facebook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s v="Referral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s v="Instagram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s v="Facebook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s v="Google"/>
    <n v="322.08"/>
  </r>
  <r>
    <s v="ORD200846"/>
    <d v="2024-07-04T00:00:00"/>
    <s v="C24765"/>
    <x v="6"/>
    <n v="2"/>
    <n v="359.86"/>
    <s v="646 Main St"/>
    <x v="0"/>
    <x v="1"/>
    <s v="TRK43977698"/>
    <n v="4"/>
    <m/>
    <s v="Referral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s v="Email"/>
    <n v="1736.92"/>
  </r>
  <r>
    <s v="ORD200848"/>
    <d v="2023-01-01T00:00:00"/>
    <s v="C54675"/>
    <x v="3"/>
    <n v="2"/>
    <n v="645.85"/>
    <s v="634 Main St"/>
    <x v="1"/>
    <x v="0"/>
    <s v="TRK18049633"/>
    <n v="5"/>
    <m/>
    <s v="Referral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s v="Referral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s v="Instagram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s v="Google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s v="Facebook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s v="Referral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s v="Email"/>
    <n v="1203.05"/>
  </r>
  <r>
    <s v="ORD200856"/>
    <d v="2024-06-03T00:00:00"/>
    <s v="C94698"/>
    <x v="1"/>
    <n v="1"/>
    <n v="586.62"/>
    <s v="871 Main St"/>
    <x v="0"/>
    <x v="0"/>
    <s v="TRK95768773"/>
    <n v="5"/>
    <m/>
    <s v="Facebook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s v="Instagram"/>
    <n v="773.52"/>
  </r>
  <r>
    <s v="ORD200858"/>
    <d v="2023-08-20T00:00:00"/>
    <s v="C22167"/>
    <x v="2"/>
    <n v="5"/>
    <n v="435.66"/>
    <s v="891 Main St"/>
    <x v="1"/>
    <x v="4"/>
    <s v="TRK70269748"/>
    <n v="9"/>
    <m/>
    <s v="Facebook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s v="Google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s v="Google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s v="Referral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s v="Referral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s v="Facebook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s v="Google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s v="Facebook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s v="Google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s v="Email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s v="Facebook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s v="Instagram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s v="Facebook"/>
    <n v="934.8"/>
  </r>
  <r>
    <s v="ORD200881"/>
    <d v="2023-01-03T00:00:00"/>
    <s v="C59579"/>
    <x v="2"/>
    <n v="2"/>
    <n v="448.85"/>
    <s v="386 Main St"/>
    <x v="2"/>
    <x v="4"/>
    <s v="TRK48000034"/>
    <n v="6"/>
    <m/>
    <s v="Instagram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s v="Referral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s v="Facebook"/>
    <n v="2807.4"/>
  </r>
  <r>
    <s v="ORD200884"/>
    <d v="2024-05-15T00:00:00"/>
    <s v="C71471"/>
    <x v="3"/>
    <n v="1"/>
    <n v="595.54"/>
    <s v="817 Main St"/>
    <x v="3"/>
    <x v="0"/>
    <s v="TRK52137079"/>
    <n v="4"/>
    <m/>
    <s v="Instagram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s v="Google"/>
    <n v="2062.36"/>
  </r>
  <r>
    <s v="ORD200886"/>
    <d v="2023-10-25T00:00:00"/>
    <s v="C29620"/>
    <x v="1"/>
    <n v="1"/>
    <n v="460.13"/>
    <s v="792 Main St"/>
    <x v="2"/>
    <x v="2"/>
    <s v="TRK22046456"/>
    <n v="1"/>
    <m/>
    <s v="Google"/>
    <n v="460.13"/>
  </r>
  <r>
    <s v="ORD200887"/>
    <d v="2024-12-19T00:00:00"/>
    <s v="C67932"/>
    <x v="3"/>
    <n v="3"/>
    <n v="171.66"/>
    <s v="857 Main St"/>
    <x v="0"/>
    <x v="3"/>
    <s v="TRK88547534"/>
    <n v="7"/>
    <m/>
    <s v="Google"/>
    <n v="514.98"/>
  </r>
  <r>
    <s v="ORD200888"/>
    <d v="2024-07-23T00:00:00"/>
    <s v="C14427"/>
    <x v="5"/>
    <n v="2"/>
    <n v="266.95"/>
    <s v="833 Main St"/>
    <x v="2"/>
    <x v="4"/>
    <s v="TRK58024529"/>
    <n v="3"/>
    <m/>
    <s v="Instagram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s v="Email"/>
    <n v="3253.6"/>
  </r>
  <r>
    <s v="ORD200890"/>
    <d v="2023-08-11T00:00:00"/>
    <s v="C51921"/>
    <x v="5"/>
    <n v="3"/>
    <n v="439.53"/>
    <s v="943 Main St"/>
    <x v="0"/>
    <x v="4"/>
    <s v="TRK85741716"/>
    <n v="5"/>
    <m/>
    <s v="Google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s v="Referral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s v="Referral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s v="Referral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s v="Facebook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s v="Google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s v="Instagram"/>
    <n v="1925.92"/>
  </r>
  <r>
    <s v="ORD200898"/>
    <d v="2025-03-05T00:00:00"/>
    <s v="C44619"/>
    <x v="0"/>
    <n v="3"/>
    <n v="158.37"/>
    <s v="742 Main St"/>
    <x v="4"/>
    <x v="0"/>
    <s v="TRK66662528"/>
    <n v="6"/>
    <m/>
    <s v="Referral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s v="Instagram"/>
    <n v="646.74"/>
  </r>
  <r>
    <s v="ORD200900"/>
    <d v="2025-02-07T00:00:00"/>
    <s v="C52342"/>
    <x v="5"/>
    <n v="5"/>
    <n v="73.83"/>
    <s v="991 Main St"/>
    <x v="0"/>
    <x v="4"/>
    <s v="TRK67342586"/>
    <n v="9"/>
    <m/>
    <s v="Instagram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s v="Referral"/>
    <n v="458.63"/>
  </r>
  <r>
    <s v="ORD200902"/>
    <d v="2024-07-13T00:00:00"/>
    <s v="C61162"/>
    <x v="0"/>
    <n v="4"/>
    <n v="180.25"/>
    <s v="813 Main St"/>
    <x v="0"/>
    <x v="1"/>
    <s v="TRK76712124"/>
    <n v="7"/>
    <m/>
    <s v="Facebook"/>
    <n v="721"/>
  </r>
  <r>
    <s v="ORD200903"/>
    <d v="2023-05-17T00:00:00"/>
    <s v="C80868"/>
    <x v="0"/>
    <n v="3"/>
    <n v="473.49"/>
    <s v="205 Main St"/>
    <x v="2"/>
    <x v="4"/>
    <s v="TRK56186636"/>
    <n v="7"/>
    <m/>
    <s v="Email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s v="Referral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s v="Facebook"/>
    <n v="442.39"/>
  </r>
  <r>
    <s v="ORD200906"/>
    <d v="2024-09-03T00:00:00"/>
    <s v="C49938"/>
    <x v="0"/>
    <n v="1"/>
    <n v="62.12"/>
    <s v="141 Main St"/>
    <x v="4"/>
    <x v="2"/>
    <s v="TRK80175572"/>
    <n v="2"/>
    <m/>
    <s v="Email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s v="Referral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s v="Instagram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s v="Instagram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s v="Email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s v="Facebook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s v="Facebook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s v="Referral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s v="Google"/>
    <n v="1919.1"/>
  </r>
  <r>
    <s v="ORD200918"/>
    <d v="2025-06-24T00:00:00"/>
    <s v="C74359"/>
    <x v="5"/>
    <n v="5"/>
    <n v="368.25"/>
    <s v="706 Main St"/>
    <x v="1"/>
    <x v="3"/>
    <s v="TRK18250450"/>
    <n v="5"/>
    <m/>
    <s v="Instagram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s v="Referral"/>
    <n v="749.2"/>
  </r>
  <r>
    <s v="ORD200920"/>
    <d v="2025-03-12T00:00:00"/>
    <s v="C26137"/>
    <x v="2"/>
    <n v="2"/>
    <n v="428.09"/>
    <s v="978 Main St"/>
    <x v="2"/>
    <x v="2"/>
    <s v="TRK98110407"/>
    <n v="6"/>
    <m/>
    <s v="Instagram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s v="Facebook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s v="Email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s v="Email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s v="Email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s v="Google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s v="Referral"/>
    <n v="741.33"/>
  </r>
  <r>
    <s v="ORD200929"/>
    <d v="2024-10-16T00:00:00"/>
    <s v="C67936"/>
    <x v="2"/>
    <n v="2"/>
    <n v="536.25"/>
    <s v="553 Main St"/>
    <x v="0"/>
    <x v="4"/>
    <s v="TRK71803414"/>
    <n v="3"/>
    <m/>
    <s v="Email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s v="Instagram"/>
    <n v="144.78"/>
  </r>
  <r>
    <s v="ORD200933"/>
    <d v="2023-01-26T00:00:00"/>
    <s v="C59685"/>
    <x v="0"/>
    <n v="2"/>
    <n v="394.16"/>
    <s v="255 Main St"/>
    <x v="1"/>
    <x v="0"/>
    <s v="TRK43718093"/>
    <n v="2"/>
    <m/>
    <s v="Referral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s v="Referral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s v="Instagram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s v="Instagram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s v="Google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s v="Email"/>
    <n v="558.5"/>
  </r>
  <r>
    <s v="ORD200942"/>
    <d v="2023-09-29T00:00:00"/>
    <s v="C17591"/>
    <x v="2"/>
    <n v="1"/>
    <n v="479.76"/>
    <s v="882 Main St"/>
    <x v="2"/>
    <x v="4"/>
    <s v="TRK56070470"/>
    <n v="1"/>
    <m/>
    <s v="Email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s v="Facebook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s v="Google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s v="Referral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s v="Email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s v="Google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s v="Referral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s v="Instagram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s v="Email"/>
    <n v="612.48"/>
  </r>
  <r>
    <s v="ORD200952"/>
    <d v="2025-02-27T00:00:00"/>
    <s v="C49111"/>
    <x v="0"/>
    <n v="3"/>
    <n v="503.39"/>
    <s v="225 Main St"/>
    <x v="1"/>
    <x v="4"/>
    <s v="TRK45303393"/>
    <n v="5"/>
    <m/>
    <s v="Facebook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s v="Google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s v="Facebook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s v="Email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s v="Instagram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s v="Google"/>
    <n v="1137.21"/>
  </r>
  <r>
    <s v="ORD200961"/>
    <d v="2024-11-11T00:00:00"/>
    <s v="C55464"/>
    <x v="1"/>
    <n v="1"/>
    <n v="601.36"/>
    <s v="532 Main St"/>
    <x v="1"/>
    <x v="0"/>
    <s v="TRK81178598"/>
    <n v="1"/>
    <m/>
    <s v="Facebook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s v="Google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s v="Referral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s v="Email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s v="Google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s v="Referral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s v="Facebook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s v="Instagram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s v="Referral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s v="Facebook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s v="Email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s v="Referral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s v="Google"/>
    <n v="2597.88"/>
  </r>
  <r>
    <s v="ORD200978"/>
    <d v="2024-06-25T00:00:00"/>
    <s v="C41508"/>
    <x v="4"/>
    <n v="4"/>
    <n v="107.49"/>
    <s v="993 Main St"/>
    <x v="4"/>
    <x v="3"/>
    <s v="TRK61047536"/>
    <n v="5"/>
    <m/>
    <s v="Google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s v="Facebook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s v="Google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s v="Email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s v="Instagram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s v="Google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s v="Referral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s v="Google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s v="Facebook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s v="Facebook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s v="Facebook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s v="Google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s v="Google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s v="Referral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s v="Google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s v="Referral"/>
    <n v="987.64"/>
  </r>
  <r>
    <s v="ORD201005"/>
    <d v="2023-03-02T00:00:00"/>
    <s v="C38065"/>
    <x v="4"/>
    <n v="3"/>
    <n v="392.85"/>
    <s v="426 Main St"/>
    <x v="2"/>
    <x v="2"/>
    <s v="TRK11448295"/>
    <n v="6"/>
    <m/>
    <s v="Google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s v="Email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s v="Email"/>
    <n v="1978.71"/>
  </r>
  <r>
    <s v="ORD201011"/>
    <d v="2024-12-03T00:00:00"/>
    <s v="C47823"/>
    <x v="1"/>
    <n v="2"/>
    <n v="478.36"/>
    <s v="654 Main St"/>
    <x v="1"/>
    <x v="0"/>
    <s v="TRK22271097"/>
    <n v="3"/>
    <m/>
    <s v="Google"/>
    <n v="956.72"/>
  </r>
  <r>
    <s v="ORD201012"/>
    <d v="2024-12-03T00:00:00"/>
    <s v="C84570"/>
    <x v="4"/>
    <n v="4"/>
    <n v="30.05"/>
    <s v="301 Main St"/>
    <x v="1"/>
    <x v="2"/>
    <s v="TRK12551882"/>
    <n v="6"/>
    <m/>
    <s v="Facebook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s v="Facebook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s v="Email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s v="Email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s v="Referral"/>
    <n v="1361.7"/>
  </r>
  <r>
    <s v="ORD201018"/>
    <d v="2023-07-08T00:00:00"/>
    <s v="C77499"/>
    <x v="5"/>
    <n v="3"/>
    <n v="182.48"/>
    <s v="209 Main St"/>
    <x v="4"/>
    <x v="3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s v="Instagram"/>
    <n v="53"/>
  </r>
  <r>
    <s v="ORD201021"/>
    <d v="2023-10-23T00:00:00"/>
    <s v="C74519"/>
    <x v="1"/>
    <n v="3"/>
    <n v="315.27"/>
    <s v="309 Main St"/>
    <x v="2"/>
    <x v="1"/>
    <s v="TRK97351945"/>
    <n v="4"/>
    <s v="SAVE10"/>
    <s v="Email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s v="Referral"/>
    <n v="1352.94"/>
  </r>
  <r>
    <s v="ORD201023"/>
    <d v="2024-09-23T00:00:00"/>
    <s v="C65251"/>
    <x v="5"/>
    <n v="5"/>
    <n v="233.67"/>
    <s v="291 Main St"/>
    <x v="4"/>
    <x v="0"/>
    <s v="TRK32059025"/>
    <n v="10"/>
    <m/>
    <s v="Referral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s v="Facebook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s v="Instagram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s v="Google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s v="Instagram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s v="Email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s v="Email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s v="Referral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s v="Facebook"/>
    <n v="2071.92"/>
  </r>
  <r>
    <s v="ORD201035"/>
    <d v="2023-11-12T00:00:00"/>
    <s v="C70315"/>
    <x v="5"/>
    <n v="4"/>
    <n v="506.11"/>
    <s v="911 Main St"/>
    <x v="4"/>
    <x v="1"/>
    <s v="TRK97732085"/>
    <n v="5"/>
    <m/>
    <s v="Referral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s v="Facebook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s v="Google"/>
    <n v="249.81"/>
  </r>
  <r>
    <s v="ORD201038"/>
    <d v="2025-03-15T00:00:00"/>
    <s v="C77961"/>
    <x v="2"/>
    <n v="3"/>
    <n v="362.53"/>
    <s v="422 Main St"/>
    <x v="0"/>
    <x v="2"/>
    <s v="TRK28969024"/>
    <n v="5"/>
    <m/>
    <s v="Facebook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s v="Google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s v="Facebook"/>
    <n v="819.5"/>
  </r>
  <r>
    <s v="ORD201043"/>
    <d v="2025-01-11T00:00:00"/>
    <s v="C43965"/>
    <x v="2"/>
    <n v="2"/>
    <n v="179.96"/>
    <s v="675 Main St"/>
    <x v="3"/>
    <x v="0"/>
    <s v="TRK94346739"/>
    <n v="5"/>
    <m/>
    <s v="Instagram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s v="Email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s v="Instagram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s v="Google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s v="Instagram"/>
    <n v="1959.3"/>
  </r>
  <r>
    <s v="ORD201050"/>
    <d v="2023-08-20T00:00:00"/>
    <s v="C70659"/>
    <x v="5"/>
    <n v="5"/>
    <n v="69.7"/>
    <s v="722 Main St"/>
    <x v="1"/>
    <x v="2"/>
    <s v="TRK49663597"/>
    <n v="9"/>
    <m/>
    <s v="Instagram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s v="Facebook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s v="Google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s v="Instagram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s v="Instagram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s v="Email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s v="Referral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s v="Instagram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s v="Instagram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s v="Google"/>
    <n v="658.5"/>
  </r>
  <r>
    <s v="ORD201062"/>
    <d v="2023-08-23T00:00:00"/>
    <s v="C13501"/>
    <x v="3"/>
    <n v="5"/>
    <n v="85.52"/>
    <s v="301 Main St"/>
    <x v="3"/>
    <x v="1"/>
    <s v="TRK65149372"/>
    <n v="5"/>
    <m/>
    <s v="Facebook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s v="Referral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s v="Referral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s v="Referral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s v="Instagram"/>
    <n v="355.09"/>
  </r>
  <r>
    <s v="ORD201067"/>
    <d v="2023-06-06T00:00:00"/>
    <s v="C78959"/>
    <x v="1"/>
    <n v="2"/>
    <n v="316.2"/>
    <s v="384 Main St"/>
    <x v="1"/>
    <x v="2"/>
    <s v="TRK37426359"/>
    <n v="2"/>
    <m/>
    <s v="Instagram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s v="Facebook"/>
    <n v="454.23"/>
  </r>
  <r>
    <s v="ORD201070"/>
    <d v="2024-09-06T00:00:00"/>
    <s v="C46873"/>
    <x v="6"/>
    <n v="4"/>
    <n v="491.29"/>
    <s v="496 Main St"/>
    <x v="0"/>
    <x v="4"/>
    <s v="TRK10926575"/>
    <n v="6"/>
    <m/>
    <s v="Email"/>
    <n v="1965.16"/>
  </r>
  <r>
    <s v="ORD201071"/>
    <d v="2025-06-24T00:00:00"/>
    <s v="C94037"/>
    <x v="1"/>
    <n v="2"/>
    <n v="255.14"/>
    <s v="216 Main St"/>
    <x v="4"/>
    <x v="0"/>
    <s v="TRK47536985"/>
    <n v="2"/>
    <m/>
    <s v="Google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s v="Referral"/>
    <n v="392.61"/>
  </r>
  <r>
    <s v="ORD201073"/>
    <d v="2024-10-11T00:00:00"/>
    <s v="C69471"/>
    <x v="2"/>
    <n v="4"/>
    <n v="362.06"/>
    <s v="294 Main St"/>
    <x v="0"/>
    <x v="2"/>
    <s v="TRK11107152"/>
    <n v="4"/>
    <m/>
    <s v="Facebook"/>
    <n v="1448.24"/>
  </r>
  <r>
    <s v="ORD201074"/>
    <d v="2024-05-10T00:00:00"/>
    <s v="C21437"/>
    <x v="1"/>
    <n v="1"/>
    <n v="222.73"/>
    <s v="120 Main St"/>
    <x v="1"/>
    <x v="2"/>
    <s v="TRK81624772"/>
    <n v="4"/>
    <m/>
    <s v="Google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s v="Instagram"/>
    <n v="1105.26"/>
  </r>
  <r>
    <s v="ORD201076"/>
    <d v="2023-05-08T00:00:00"/>
    <s v="C99116"/>
    <x v="5"/>
    <n v="4"/>
    <n v="686.61"/>
    <s v="176 Main St"/>
    <x v="4"/>
    <x v="0"/>
    <s v="TRK52711973"/>
    <n v="6"/>
    <m/>
    <s v="Referral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s v="Referral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s v="Email"/>
    <n v="41.09"/>
  </r>
  <r>
    <s v="ORD201079"/>
    <d v="2024-06-20T00:00:00"/>
    <s v="C89979"/>
    <x v="1"/>
    <n v="5"/>
    <n v="634"/>
    <s v="144 Main St"/>
    <x v="3"/>
    <x v="3"/>
    <s v="TRK99055909"/>
    <n v="8"/>
    <m/>
    <s v="Email"/>
    <n v="3170"/>
  </r>
  <r>
    <s v="ORD201080"/>
    <d v="2023-01-20T00:00:00"/>
    <s v="C70613"/>
    <x v="5"/>
    <n v="5"/>
    <n v="464.74"/>
    <s v="438 Main St"/>
    <x v="3"/>
    <x v="3"/>
    <s v="TRK33140293"/>
    <n v="7"/>
    <m/>
    <s v="Referral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s v="Google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s v="Email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s v="Instagram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s v="Instagram"/>
    <n v="1474.29"/>
  </r>
  <r>
    <s v="ORD201089"/>
    <d v="2025-03-15T00:00:00"/>
    <s v="C13324"/>
    <x v="2"/>
    <n v="2"/>
    <n v="599.74"/>
    <s v="440 Main St"/>
    <x v="3"/>
    <x v="0"/>
    <s v="TRK66967997"/>
    <n v="2"/>
    <m/>
    <s v="Instagram"/>
    <n v="1199.48"/>
  </r>
  <r>
    <s v="ORD201090"/>
    <d v="2023-02-25T00:00:00"/>
    <s v="C61225"/>
    <x v="0"/>
    <n v="2"/>
    <n v="650.25"/>
    <s v="996 Main St"/>
    <x v="3"/>
    <x v="2"/>
    <s v="TRK37022954"/>
    <n v="6"/>
    <m/>
    <s v="Instagram"/>
    <n v="1300.5"/>
  </r>
  <r>
    <s v="ORD201091"/>
    <d v="2024-10-08T00:00:00"/>
    <s v="C16400"/>
    <x v="5"/>
    <n v="3"/>
    <n v="209.48"/>
    <s v="123 Main St"/>
    <x v="0"/>
    <x v="4"/>
    <s v="TRK57771859"/>
    <n v="4"/>
    <m/>
    <s v="Email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s v="Email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s v="Instagram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s v="Instagram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s v="Email"/>
    <n v="883.08"/>
  </r>
  <r>
    <s v="ORD201096"/>
    <d v="2025-05-03T00:00:00"/>
    <s v="C18169"/>
    <x v="2"/>
    <n v="2"/>
    <n v="464.92"/>
    <s v="782 Main St"/>
    <x v="0"/>
    <x v="2"/>
    <s v="TRK49482923"/>
    <n v="2"/>
    <m/>
    <s v="Facebook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s v="Google"/>
    <n v="2532.25"/>
  </r>
  <r>
    <s v="ORD201098"/>
    <d v="2023-06-17T00:00:00"/>
    <s v="C91103"/>
    <x v="0"/>
    <n v="4"/>
    <n v="255.86"/>
    <s v="155 Main St"/>
    <x v="2"/>
    <x v="3"/>
    <s v="TRK91653000"/>
    <n v="7"/>
    <m/>
    <s v="Email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s v="Email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s v="Instagram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s v="Email"/>
    <n v="485.91"/>
  </r>
  <r>
    <s v="ORD201102"/>
    <d v="2024-06-03T00:00:00"/>
    <s v="C98474"/>
    <x v="3"/>
    <n v="4"/>
    <n v="347.17"/>
    <s v="997 Main St"/>
    <x v="0"/>
    <x v="0"/>
    <s v="TRK86192984"/>
    <n v="8"/>
    <m/>
    <s v="Instagram"/>
    <n v="1388.68"/>
  </r>
  <r>
    <s v="ORD201103"/>
    <d v="2023-04-24T00:00:00"/>
    <s v="C90292"/>
    <x v="5"/>
    <n v="4"/>
    <n v="276.32"/>
    <s v="129 Main St"/>
    <x v="1"/>
    <x v="3"/>
    <s v="TRK26270357"/>
    <n v="5"/>
    <m/>
    <s v="Google"/>
    <n v="1105.28"/>
  </r>
  <r>
    <s v="ORD201104"/>
    <d v="2024-07-25T00:00:00"/>
    <s v="C17075"/>
    <x v="2"/>
    <n v="4"/>
    <n v="314.76"/>
    <s v="850 Main St"/>
    <x v="1"/>
    <x v="0"/>
    <s v="TRK63547510"/>
    <n v="8"/>
    <m/>
    <s v="Instagram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s v="Google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s v="Facebook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s v="Instagram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s v="Email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s v="Instagram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s v="Instagram"/>
    <n v="356.81"/>
  </r>
  <r>
    <s v="ORD201113"/>
    <d v="2023-03-19T00:00:00"/>
    <s v="C52914"/>
    <x v="6"/>
    <n v="4"/>
    <n v="209.99"/>
    <s v="168 Main St"/>
    <x v="4"/>
    <x v="3"/>
    <s v="TRK80819053"/>
    <n v="8"/>
    <m/>
    <s v="Google"/>
    <n v="839.96"/>
  </r>
  <r>
    <s v="ORD201114"/>
    <d v="2023-03-16T00:00:00"/>
    <s v="C55164"/>
    <x v="2"/>
    <n v="3"/>
    <n v="659.88"/>
    <s v="609 Main St"/>
    <x v="3"/>
    <x v="1"/>
    <s v="TRK79610967"/>
    <n v="3"/>
    <m/>
    <s v="Google"/>
    <n v="1979.64"/>
  </r>
  <r>
    <s v="ORD201115"/>
    <d v="2025-06-20T00:00:00"/>
    <s v="C70426"/>
    <x v="5"/>
    <n v="2"/>
    <n v="336.32"/>
    <s v="562 Main St"/>
    <x v="1"/>
    <x v="2"/>
    <s v="TRK89687816"/>
    <n v="3"/>
    <m/>
    <s v="Google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s v="Google"/>
    <n v="1765.32"/>
  </r>
  <r>
    <s v="ORD201118"/>
    <d v="2024-05-24T00:00:00"/>
    <s v="C58168"/>
    <x v="1"/>
    <n v="3"/>
    <n v="251.48"/>
    <s v="359 Main St"/>
    <x v="2"/>
    <x v="2"/>
    <s v="TRK99102265"/>
    <n v="4"/>
    <m/>
    <s v="Email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s v="Email"/>
    <n v="684.65"/>
  </r>
  <r>
    <s v="ORD201120"/>
    <d v="2025-05-10T00:00:00"/>
    <s v="C22919"/>
    <x v="2"/>
    <n v="1"/>
    <n v="195.86"/>
    <s v="267 Main St"/>
    <x v="1"/>
    <x v="4"/>
    <s v="TRK82416295"/>
    <n v="3"/>
    <m/>
    <s v="Facebook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s v="Facebook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s v="Referral"/>
    <n v="1662.75"/>
  </r>
  <r>
    <s v="ORD201124"/>
    <d v="2023-05-09T00:00:00"/>
    <s v="C33744"/>
    <x v="3"/>
    <n v="4"/>
    <n v="576.87"/>
    <s v="888 Main St"/>
    <x v="3"/>
    <x v="2"/>
    <s v="TRK40245983"/>
    <n v="5"/>
    <m/>
    <s v="Instagram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s v="Referral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s v="Email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s v="Google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s v="Instagram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s v="Instagram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s v="Facebook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s v="Email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s v="Facebook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s v="Facebook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s v="Google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s v="Facebook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s v="Instagram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s v="Referral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s v="Email"/>
    <n v="1495.98"/>
  </r>
  <r>
    <s v="ORD201142"/>
    <d v="2024-08-23T00:00:00"/>
    <s v="C23405"/>
    <x v="1"/>
    <n v="4"/>
    <n v="695.1"/>
    <s v="484 Main St"/>
    <x v="0"/>
    <x v="2"/>
    <s v="TRK83678708"/>
    <n v="8"/>
    <m/>
    <s v="Email"/>
    <n v="2780.4"/>
  </r>
  <r>
    <s v="ORD201143"/>
    <d v="2023-04-03T00:00:00"/>
    <s v="C41132"/>
    <x v="3"/>
    <n v="1"/>
    <n v="381.61"/>
    <s v="114 Main St"/>
    <x v="0"/>
    <x v="4"/>
    <s v="TRK51040137"/>
    <n v="5"/>
    <m/>
    <s v="Email"/>
    <n v="381.61"/>
  </r>
  <r>
    <s v="ORD201144"/>
    <d v="2023-02-16T00:00:00"/>
    <s v="C88463"/>
    <x v="6"/>
    <n v="5"/>
    <n v="507.94"/>
    <s v="292 Main St"/>
    <x v="1"/>
    <x v="1"/>
    <s v="TRK88749996"/>
    <n v="9"/>
    <m/>
    <s v="Facebook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s v="Facebook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s v="Email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s v="Google"/>
    <n v="1216.08"/>
  </r>
  <r>
    <s v="ORD201152"/>
    <d v="2023-11-09T00:00:00"/>
    <s v="C25162"/>
    <x v="2"/>
    <n v="2"/>
    <n v="344.18"/>
    <s v="533 Main St"/>
    <x v="2"/>
    <x v="0"/>
    <s v="TRK42183078"/>
    <n v="7"/>
    <m/>
    <s v="Referral"/>
    <n v="688.36"/>
  </r>
  <r>
    <s v="ORD201153"/>
    <d v="2024-12-16T00:00:00"/>
    <s v="C98317"/>
    <x v="0"/>
    <n v="4"/>
    <n v="696.71"/>
    <s v="276 Main St"/>
    <x v="0"/>
    <x v="0"/>
    <s v="TRK37172138"/>
    <n v="4"/>
    <m/>
    <s v="Instagram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s v="Referral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s v="Referral"/>
    <n v="109.68"/>
  </r>
  <r>
    <s v="ORD201159"/>
    <d v="2024-02-23T00:00:00"/>
    <s v="C66112"/>
    <x v="6"/>
    <n v="4"/>
    <n v="466.7"/>
    <s v="874 Main St"/>
    <x v="0"/>
    <x v="2"/>
    <s v="TRK60955607"/>
    <n v="8"/>
    <m/>
    <s v="Instagram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s v="Email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s v="Email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s v="Email"/>
    <n v="1577.85"/>
  </r>
  <r>
    <s v="ORD201165"/>
    <d v="2023-07-14T00:00:00"/>
    <s v="C36992"/>
    <x v="3"/>
    <n v="3"/>
    <n v="223.79"/>
    <s v="617 Main St"/>
    <x v="0"/>
    <x v="4"/>
    <s v="TRK63460217"/>
    <n v="3"/>
    <m/>
    <s v="Google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s v="Facebook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s v="Email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s v="Facebook"/>
    <n v="2073.6"/>
  </r>
  <r>
    <s v="ORD201172"/>
    <d v="2025-02-04T00:00:00"/>
    <s v="C28828"/>
    <x v="6"/>
    <n v="3"/>
    <n v="131.96"/>
    <s v="745 Main St"/>
    <x v="2"/>
    <x v="4"/>
    <s v="TRK32550359"/>
    <n v="8"/>
    <m/>
    <s v="Instagram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s v="Email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s v="Email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s v="Email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s v="Instagram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s v="Google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s v="Instagram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s v="Google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s v="Referral"/>
    <n v="281.52"/>
  </r>
  <r>
    <s v="ORD201184"/>
    <d v="2023-09-27T00:00:00"/>
    <s v="C10222"/>
    <x v="5"/>
    <n v="1"/>
    <n v="204.08"/>
    <s v="979 Main St"/>
    <x v="3"/>
    <x v="2"/>
    <s v="TRK86297895"/>
    <n v="4"/>
    <m/>
    <s v="Google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s v="Google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s v="Facebook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s v="Email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s v="Facebook"/>
    <n v="742.58"/>
  </r>
  <r>
    <s v="ORD201189"/>
    <d v="2024-08-17T00:00:00"/>
    <s v="C96136"/>
    <x v="2"/>
    <n v="5"/>
    <n v="389.22"/>
    <s v="149 Main St"/>
    <x v="4"/>
    <x v="1"/>
    <s v="TRK60856682"/>
    <n v="7"/>
    <m/>
    <s v="Referral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s v="Instagram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s v="Instagram"/>
    <n v="1505.72"/>
  </r>
  <r>
    <s v="ORD201192"/>
    <d v="2024-02-28T00:00:00"/>
    <s v="C72007"/>
    <x v="3"/>
    <n v="3"/>
    <n v="432.85"/>
    <s v="999 Main St"/>
    <x v="1"/>
    <x v="4"/>
    <s v="TRK16240916"/>
    <n v="4"/>
    <m/>
    <s v="Instagram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s v="Email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s v="Google"/>
    <n v="107.04"/>
  </r>
  <r>
    <s v="ORD201196"/>
    <d v="2024-03-04T00:00:00"/>
    <s v="C20095"/>
    <x v="0"/>
    <n v="2"/>
    <n v="662.53"/>
    <s v="778 Main St"/>
    <x v="1"/>
    <x v="1"/>
    <s v="TRK69207593"/>
    <n v="5"/>
    <m/>
    <s v="Facebook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s v="Instagram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9A3ED-1A5E-4EC5-97EE-84C7D6A3B41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6:B52" firstHeaderRow="1" firstDataRow="1" firstDataCol="1"/>
  <pivotFields count="14">
    <pivotField showAll="0"/>
    <pivotField numFmtId="164" showAll="0"/>
    <pivotField showAll="0"/>
    <pivotField showAll="0"/>
    <pivotField dataField="1"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E2389-0E7E-4C82-AE9A-A70BD54B067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1:B37" firstHeaderRow="1" firstDataRow="1" firstDataCol="1"/>
  <pivotFields count="14">
    <pivotField showAll="0"/>
    <pivotField numFmtId="164" showAll="0"/>
    <pivotField showAll="0"/>
    <pivotField axis="axisRow" dataField="1" showAll="0" measureFilter="1" sortType="descending">
      <items count="8">
        <item x="2"/>
        <item x="4"/>
        <item x="1"/>
        <item x="0"/>
        <item x="5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51948-85F0-4160-BF29-30AE6DCEAD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8:E14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57322-6604-4A3F-99FD-A55D36A511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:B14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A2" sqref="A2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7334-E0A0-48D1-BBBF-B8EE75E57389}">
  <dimension ref="A1:K25"/>
  <sheetViews>
    <sheetView zoomScale="94" zoomScaleNormal="94" workbookViewId="0">
      <selection activeCell="K21" sqref="K21"/>
    </sheetView>
  </sheetViews>
  <sheetFormatPr defaultRowHeight="14.4" x14ac:dyDescent="0.3"/>
  <cols>
    <col min="1" max="1" width="14.6640625" bestFit="1" customWidth="1"/>
    <col min="2" max="2" width="11" bestFit="1" customWidth="1"/>
    <col min="3" max="3" width="12.88671875" bestFit="1" customWidth="1"/>
    <col min="4" max="4" width="12" bestFit="1" customWidth="1"/>
  </cols>
  <sheetData>
    <row r="1" spans="1:4" x14ac:dyDescent="0.3">
      <c r="A1" s="10" t="s">
        <v>4283</v>
      </c>
      <c r="B1" s="10" t="s">
        <v>4284</v>
      </c>
      <c r="C1" s="10" t="s">
        <v>4285</v>
      </c>
      <c r="D1" s="11" t="s">
        <v>4302</v>
      </c>
    </row>
    <row r="2" spans="1:4" x14ac:dyDescent="0.3">
      <c r="A2" s="10" t="s">
        <v>0</v>
      </c>
      <c r="B2" s="3">
        <f>COUNTA('Raw Data'!A:A)-1</f>
        <v>1200</v>
      </c>
      <c r="C2" s="3">
        <f>1200-B2</f>
        <v>0</v>
      </c>
      <c r="D2" s="4">
        <f>B2/1200</f>
        <v>1</v>
      </c>
    </row>
    <row r="3" spans="1:4" x14ac:dyDescent="0.3">
      <c r="A3" s="10" t="s">
        <v>1</v>
      </c>
      <c r="B3" s="3">
        <f>COUNTA('Raw Data'!B:B)-1</f>
        <v>1200</v>
      </c>
      <c r="C3" s="3">
        <f t="shared" ref="C3" si="0">1200-B3</f>
        <v>0</v>
      </c>
      <c r="D3" s="4">
        <f t="shared" ref="D3:D15" si="1">B3/1200</f>
        <v>1</v>
      </c>
    </row>
    <row r="4" spans="1:4" x14ac:dyDescent="0.3">
      <c r="A4" s="10" t="s">
        <v>2</v>
      </c>
      <c r="B4" s="3">
        <f>COUNTA('Raw Data'!C:C)-1</f>
        <v>1200</v>
      </c>
      <c r="C4" s="3">
        <f t="shared" ref="C4:C15" si="2">1200-B4</f>
        <v>0</v>
      </c>
      <c r="D4" s="4">
        <f t="shared" si="1"/>
        <v>1</v>
      </c>
    </row>
    <row r="5" spans="1:4" x14ac:dyDescent="0.3">
      <c r="A5" s="10" t="s">
        <v>3</v>
      </c>
      <c r="B5" s="3">
        <f>COUNTA('Raw Data'!E:E)-1</f>
        <v>1200</v>
      </c>
      <c r="C5" s="3">
        <f t="shared" si="2"/>
        <v>0</v>
      </c>
      <c r="D5" s="4">
        <f t="shared" si="1"/>
        <v>1</v>
      </c>
    </row>
    <row r="6" spans="1:4" x14ac:dyDescent="0.3">
      <c r="A6" s="10" t="s">
        <v>4</v>
      </c>
      <c r="B6" s="3">
        <f>COUNTA('Raw Data'!E:E)-1</f>
        <v>1200</v>
      </c>
      <c r="C6" s="3">
        <f t="shared" si="2"/>
        <v>0</v>
      </c>
      <c r="D6" s="4">
        <f t="shared" si="1"/>
        <v>1</v>
      </c>
    </row>
    <row r="7" spans="1:4" x14ac:dyDescent="0.3">
      <c r="A7" s="10" t="s">
        <v>5</v>
      </c>
      <c r="B7" s="3">
        <f>COUNTA('Raw Data'!F:F)-1</f>
        <v>1200</v>
      </c>
      <c r="C7" s="3">
        <f t="shared" si="2"/>
        <v>0</v>
      </c>
      <c r="D7" s="4">
        <f t="shared" si="1"/>
        <v>1</v>
      </c>
    </row>
    <row r="8" spans="1:4" x14ac:dyDescent="0.3">
      <c r="A8" s="10" t="s">
        <v>6</v>
      </c>
      <c r="B8" s="3">
        <f>COUNTA('Raw Data'!G:G)-1</f>
        <v>1200</v>
      </c>
      <c r="C8" s="3">
        <f t="shared" si="2"/>
        <v>0</v>
      </c>
      <c r="D8" s="4">
        <f t="shared" si="1"/>
        <v>1</v>
      </c>
    </row>
    <row r="9" spans="1:4" x14ac:dyDescent="0.3">
      <c r="A9" s="10" t="s">
        <v>7</v>
      </c>
      <c r="B9" s="3">
        <f>COUNTA('Raw Data'!H:H)-1</f>
        <v>1200</v>
      </c>
      <c r="C9" s="3">
        <f t="shared" si="2"/>
        <v>0</v>
      </c>
      <c r="D9" s="4">
        <f t="shared" si="1"/>
        <v>1</v>
      </c>
    </row>
    <row r="10" spans="1:4" x14ac:dyDescent="0.3">
      <c r="A10" s="10" t="s">
        <v>8</v>
      </c>
      <c r="B10" s="3">
        <f>COUNTA('Raw Data'!I:I)-1</f>
        <v>1200</v>
      </c>
      <c r="C10" s="3">
        <f t="shared" si="2"/>
        <v>0</v>
      </c>
      <c r="D10" s="4">
        <f t="shared" si="1"/>
        <v>1</v>
      </c>
    </row>
    <row r="11" spans="1:4" x14ac:dyDescent="0.3">
      <c r="A11" s="10" t="s">
        <v>9</v>
      </c>
      <c r="B11" s="3">
        <f>COUNTA('Raw Data'!J:J)-1</f>
        <v>1200</v>
      </c>
      <c r="C11" s="3">
        <f t="shared" si="2"/>
        <v>0</v>
      </c>
      <c r="D11" s="4">
        <f t="shared" si="1"/>
        <v>1</v>
      </c>
    </row>
    <row r="12" spans="1:4" x14ac:dyDescent="0.3">
      <c r="A12" s="10" t="s">
        <v>10</v>
      </c>
      <c r="B12" s="3">
        <f>COUNTA('Raw Data'!K:K)-1</f>
        <v>1200</v>
      </c>
      <c r="C12" s="3">
        <f t="shared" si="2"/>
        <v>0</v>
      </c>
      <c r="D12" s="4">
        <f t="shared" si="1"/>
        <v>1</v>
      </c>
    </row>
    <row r="13" spans="1:4" s="5" customFormat="1" x14ac:dyDescent="0.3">
      <c r="A13" s="12" t="s">
        <v>11</v>
      </c>
      <c r="B13" s="8">
        <f>COUNTA('Raw Data'!L:L)-1</f>
        <v>891</v>
      </c>
      <c r="C13" s="8">
        <f t="shared" si="2"/>
        <v>309</v>
      </c>
      <c r="D13" s="9">
        <f t="shared" si="1"/>
        <v>0.74250000000000005</v>
      </c>
    </row>
    <row r="14" spans="1:4" x14ac:dyDescent="0.3">
      <c r="A14" s="10" t="s">
        <v>12</v>
      </c>
      <c r="B14" s="3">
        <f>COUNTA('Raw Data'!M:M)-1</f>
        <v>1200</v>
      </c>
      <c r="C14" s="3">
        <f t="shared" si="2"/>
        <v>0</v>
      </c>
      <c r="D14" s="4">
        <f t="shared" si="1"/>
        <v>1</v>
      </c>
    </row>
    <row r="15" spans="1:4" x14ac:dyDescent="0.3">
      <c r="A15" s="10" t="s">
        <v>13</v>
      </c>
      <c r="B15" s="3">
        <f>COUNTA('Raw Data'!N:N)-1</f>
        <v>1200</v>
      </c>
      <c r="C15" s="3">
        <f t="shared" si="2"/>
        <v>0</v>
      </c>
      <c r="D15" s="4">
        <f t="shared" si="1"/>
        <v>1</v>
      </c>
    </row>
    <row r="17" spans="1:11" x14ac:dyDescent="0.3">
      <c r="A17" s="10" t="s">
        <v>4287</v>
      </c>
      <c r="B17" s="10" t="s">
        <v>4288</v>
      </c>
      <c r="C17" s="10" t="s">
        <v>4289</v>
      </c>
      <c r="D17" s="10" t="s">
        <v>4290</v>
      </c>
      <c r="E17" s="10" t="s">
        <v>4291</v>
      </c>
    </row>
    <row r="18" spans="1:11" x14ac:dyDescent="0.3">
      <c r="A18" s="10" t="s">
        <v>4</v>
      </c>
      <c r="B18" s="3">
        <f>MIN('Raw Data'!E2:E1201)</f>
        <v>1</v>
      </c>
      <c r="C18" s="3">
        <f>MAX('Raw Data'!E2:E1201)</f>
        <v>5</v>
      </c>
      <c r="D18" s="3">
        <f>('Raw Data'!E2:E1201)</f>
        <v>2</v>
      </c>
      <c r="E18" s="3">
        <f>COUNT('Raw Data'!E2:E1201)</f>
        <v>1200</v>
      </c>
      <c r="H18" t="s">
        <v>4299</v>
      </c>
    </row>
    <row r="19" spans="1:11" x14ac:dyDescent="0.3">
      <c r="A19" s="10" t="s">
        <v>4286</v>
      </c>
      <c r="B19" s="3">
        <f>MIN('Raw Data'!F2:F1201)</f>
        <v>11.39</v>
      </c>
      <c r="C19" s="3">
        <f>MAX('Raw Data'!F2:F1201)</f>
        <v>699.93</v>
      </c>
      <c r="D19" s="3">
        <f>AVERAGE('Raw Data'!F2:F1201)</f>
        <v>356.41275000000007</v>
      </c>
      <c r="E19" s="3">
        <f>COUNT('Raw Data'!E2:E1201)</f>
        <v>1200</v>
      </c>
    </row>
    <row r="20" spans="1:11" x14ac:dyDescent="0.3">
      <c r="A20" s="10" t="s">
        <v>10</v>
      </c>
      <c r="B20" s="3">
        <f>MIN('Raw Data'!K2:K1201)</f>
        <v>1</v>
      </c>
      <c r="C20" s="3">
        <f>MAX('Raw Data'!K2:K1201)</f>
        <v>10</v>
      </c>
      <c r="D20" s="3">
        <f>AVERAGE('Raw Data'!K2:K1201)</f>
        <v>5.4850000000000003</v>
      </c>
      <c r="E20" s="3">
        <f>COUNT('Raw Data'!K2:K1201)</f>
        <v>1200</v>
      </c>
      <c r="K20" t="s">
        <v>4299</v>
      </c>
    </row>
    <row r="21" spans="1:11" x14ac:dyDescent="0.3">
      <c r="A21" s="10" t="s">
        <v>13</v>
      </c>
      <c r="B21" s="3">
        <f>MIN('Raw Data'!N2:N1201)</f>
        <v>11.39</v>
      </c>
      <c r="C21" s="3">
        <f>MAX('Raw Data'!N2:N1201)</f>
        <v>3456.4</v>
      </c>
      <c r="D21" s="3">
        <f>AVERAGE('Raw Data'!N2:N1201)</f>
        <v>1053.9683000000005</v>
      </c>
      <c r="E21" s="3">
        <f>COUNT('Raw Data'!N2:N1201)</f>
        <v>1200</v>
      </c>
    </row>
    <row r="23" spans="1:11" x14ac:dyDescent="0.3">
      <c r="A23" s="18" t="s">
        <v>4300</v>
      </c>
      <c r="B23" s="19"/>
      <c r="C23" s="19"/>
      <c r="D23" s="19"/>
      <c r="E23" s="19"/>
      <c r="F23" s="19"/>
      <c r="G23" s="19"/>
      <c r="H23" s="20"/>
    </row>
    <row r="24" spans="1:11" x14ac:dyDescent="0.3">
      <c r="A24" s="7" t="s">
        <v>4292</v>
      </c>
      <c r="B24" s="7" t="s">
        <v>4293</v>
      </c>
      <c r="C24" s="7" t="s">
        <v>4301</v>
      </c>
      <c r="D24" s="7" t="s">
        <v>4294</v>
      </c>
      <c r="E24" s="7" t="s">
        <v>4295</v>
      </c>
      <c r="F24" s="7" t="s">
        <v>4296</v>
      </c>
      <c r="G24" s="7" t="s">
        <v>4297</v>
      </c>
      <c r="H24" s="7"/>
    </row>
    <row r="25" spans="1:11" x14ac:dyDescent="0.3">
      <c r="A25" s="3" t="s">
        <v>4298</v>
      </c>
      <c r="B25" s="6">
        <f>QUARTILE('Raw Data'!N2:N1201,1)</f>
        <v>410.52</v>
      </c>
      <c r="C25" s="6">
        <f>QUARTILE('Raw Data'!N2:N1201,3)</f>
        <v>1578.4749999999999</v>
      </c>
      <c r="D25" s="6">
        <f>C25-B25</f>
        <v>1167.9549999999999</v>
      </c>
      <c r="E25" s="6">
        <f>B25-1.5*D25</f>
        <v>-1341.4124999999999</v>
      </c>
      <c r="F25" s="6">
        <f>C25+1.5*D25</f>
        <v>3330.4074999999998</v>
      </c>
      <c r="G25" s="21">
        <f>COUNTIF('Raw Data'!N2:N1201,"&gt;"&amp;F25)</f>
        <v>8</v>
      </c>
      <c r="H25" s="22"/>
    </row>
  </sheetData>
  <mergeCells count="2">
    <mergeCell ref="A23:H23"/>
    <mergeCell ref="G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B85F-13D4-46D1-88E2-32893E803BCE}">
  <dimension ref="A1:E52"/>
  <sheetViews>
    <sheetView showGridLines="0" tabSelected="1" zoomScale="81" zoomScaleNormal="81" workbookViewId="0">
      <selection activeCell="T29" sqref="T29"/>
    </sheetView>
  </sheetViews>
  <sheetFormatPr defaultRowHeight="14.4" x14ac:dyDescent="0.3"/>
  <cols>
    <col min="1" max="1" width="14.5546875" bestFit="1" customWidth="1"/>
    <col min="2" max="2" width="14.88671875" bestFit="1" customWidth="1"/>
    <col min="4" max="4" width="12.5546875" bestFit="1" customWidth="1"/>
    <col min="5" max="5" width="19" bestFit="1" customWidth="1"/>
  </cols>
  <sheetData>
    <row r="1" spans="1:5" ht="21" x14ac:dyDescent="0.4">
      <c r="A1" s="23" t="s">
        <v>4315</v>
      </c>
      <c r="B1" s="23"/>
      <c r="C1" s="23"/>
      <c r="D1" s="23"/>
    </row>
    <row r="2" spans="1:5" ht="21" x14ac:dyDescent="0.4">
      <c r="A2" s="15" t="s">
        <v>4306</v>
      </c>
      <c r="B2" s="16">
        <f>COUNTA('Raw Data'!A:A)-1</f>
        <v>1200</v>
      </c>
    </row>
    <row r="3" spans="1:5" ht="21" x14ac:dyDescent="0.4">
      <c r="A3" s="15" t="s">
        <v>4307</v>
      </c>
      <c r="B3" s="16">
        <v>258</v>
      </c>
    </row>
    <row r="4" spans="1:5" ht="21" x14ac:dyDescent="0.4">
      <c r="A4" s="15" t="s">
        <v>4308</v>
      </c>
      <c r="B4" s="16">
        <v>1054</v>
      </c>
    </row>
    <row r="5" spans="1:5" ht="21" x14ac:dyDescent="0.4">
      <c r="A5" s="15" t="s">
        <v>4309</v>
      </c>
      <c r="B5" s="17">
        <v>891</v>
      </c>
    </row>
    <row r="6" spans="1:5" ht="21" x14ac:dyDescent="0.4">
      <c r="A6" s="15" t="s">
        <v>4310</v>
      </c>
      <c r="B6" s="17" t="s">
        <v>4311</v>
      </c>
    </row>
    <row r="8" spans="1:5" hidden="1" x14ac:dyDescent="0.3">
      <c r="A8" s="13" t="s">
        <v>4303</v>
      </c>
      <c r="B8" t="s">
        <v>4305</v>
      </c>
      <c r="D8" s="13" t="s">
        <v>4303</v>
      </c>
      <c r="E8" t="s">
        <v>4312</v>
      </c>
    </row>
    <row r="9" spans="1:5" hidden="1" x14ac:dyDescent="0.3">
      <c r="A9" s="14" t="s">
        <v>3069</v>
      </c>
      <c r="B9">
        <v>246</v>
      </c>
      <c r="D9" s="14" t="s">
        <v>3071</v>
      </c>
      <c r="E9">
        <v>250</v>
      </c>
    </row>
    <row r="10" spans="1:5" hidden="1" x14ac:dyDescent="0.3">
      <c r="A10" s="14" t="s">
        <v>3067</v>
      </c>
      <c r="B10">
        <v>234</v>
      </c>
      <c r="D10" s="14" t="s">
        <v>3073</v>
      </c>
      <c r="E10">
        <v>231</v>
      </c>
    </row>
    <row r="11" spans="1:5" hidden="1" x14ac:dyDescent="0.3">
      <c r="A11" s="14" t="s">
        <v>3065</v>
      </c>
      <c r="B11">
        <v>232</v>
      </c>
      <c r="D11" s="14" t="s">
        <v>3074</v>
      </c>
      <c r="E11">
        <v>237</v>
      </c>
    </row>
    <row r="12" spans="1:5" hidden="1" x14ac:dyDescent="0.3">
      <c r="A12" s="14" t="s">
        <v>3068</v>
      </c>
      <c r="B12">
        <v>230</v>
      </c>
      <c r="D12" s="14" t="s">
        <v>3072</v>
      </c>
      <c r="E12">
        <v>247</v>
      </c>
    </row>
    <row r="13" spans="1:5" hidden="1" x14ac:dyDescent="0.3">
      <c r="A13" s="14" t="s">
        <v>3066</v>
      </c>
      <c r="B13">
        <v>258</v>
      </c>
      <c r="D13" s="14" t="s">
        <v>3070</v>
      </c>
      <c r="E13">
        <v>235</v>
      </c>
    </row>
    <row r="14" spans="1:5" hidden="1" x14ac:dyDescent="0.3">
      <c r="A14" s="14" t="s">
        <v>4304</v>
      </c>
      <c r="B14">
        <v>1200</v>
      </c>
      <c r="D14" s="14" t="s">
        <v>4304</v>
      </c>
      <c r="E14">
        <v>1200</v>
      </c>
    </row>
    <row r="31" spans="1:2" hidden="1" x14ac:dyDescent="0.3">
      <c r="A31" s="13" t="s">
        <v>4303</v>
      </c>
      <c r="B31" t="s">
        <v>4313</v>
      </c>
    </row>
    <row r="32" spans="1:2" hidden="1" x14ac:dyDescent="0.3">
      <c r="A32" s="14" t="s">
        <v>2405</v>
      </c>
      <c r="B32">
        <v>179</v>
      </c>
    </row>
    <row r="33" spans="1:2" hidden="1" x14ac:dyDescent="0.3">
      <c r="A33" s="14" t="s">
        <v>2407</v>
      </c>
      <c r="B33">
        <v>181</v>
      </c>
    </row>
    <row r="34" spans="1:2" hidden="1" x14ac:dyDescent="0.3">
      <c r="A34" s="14" t="s">
        <v>2408</v>
      </c>
      <c r="B34">
        <v>173</v>
      </c>
    </row>
    <row r="35" spans="1:2" hidden="1" x14ac:dyDescent="0.3">
      <c r="A35" s="14" t="s">
        <v>2409</v>
      </c>
      <c r="B35">
        <v>170</v>
      </c>
    </row>
    <row r="36" spans="1:2" hidden="1" x14ac:dyDescent="0.3">
      <c r="A36" s="14" t="s">
        <v>2406</v>
      </c>
      <c r="B36">
        <v>178</v>
      </c>
    </row>
    <row r="37" spans="1:2" hidden="1" x14ac:dyDescent="0.3">
      <c r="A37" s="14" t="s">
        <v>4304</v>
      </c>
      <c r="B37">
        <v>881</v>
      </c>
    </row>
    <row r="46" spans="1:2" hidden="1" x14ac:dyDescent="0.3">
      <c r="A46" s="13" t="s">
        <v>4303</v>
      </c>
      <c r="B46" t="s">
        <v>4314</v>
      </c>
    </row>
    <row r="47" spans="1:2" hidden="1" x14ac:dyDescent="0.3">
      <c r="A47" s="14" t="s">
        <v>3069</v>
      </c>
      <c r="B47">
        <v>753</v>
      </c>
    </row>
    <row r="48" spans="1:2" hidden="1" x14ac:dyDescent="0.3">
      <c r="A48" s="14" t="s">
        <v>3067</v>
      </c>
      <c r="B48">
        <v>712</v>
      </c>
    </row>
    <row r="49" spans="1:2" hidden="1" x14ac:dyDescent="0.3">
      <c r="A49" s="14" t="s">
        <v>3065</v>
      </c>
      <c r="B49">
        <v>664</v>
      </c>
    </row>
    <row r="50" spans="1:2" hidden="1" x14ac:dyDescent="0.3">
      <c r="A50" s="14" t="s">
        <v>3068</v>
      </c>
      <c r="B50">
        <v>675</v>
      </c>
    </row>
    <row r="51" spans="1:2" hidden="1" x14ac:dyDescent="0.3">
      <c r="A51" s="14" t="s">
        <v>3066</v>
      </c>
      <c r="B51">
        <v>731</v>
      </c>
    </row>
    <row r="52" spans="1:2" hidden="1" x14ac:dyDescent="0.3">
      <c r="A52" s="14" t="s">
        <v>4304</v>
      </c>
      <c r="B52">
        <v>3535</v>
      </c>
    </row>
  </sheetData>
  <mergeCells count="1">
    <mergeCell ref="A1:D1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EDA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2026-09-27T06:59:59Z</dcterms:modified>
</cp:coreProperties>
</file>